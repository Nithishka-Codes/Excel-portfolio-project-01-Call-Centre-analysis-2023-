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hidePivotFieldList="1"/>
  <mc:AlternateContent xmlns:mc="http://schemas.openxmlformats.org/markup-compatibility/2006">
    <mc:Choice Requires="x15">
      <x15ac:absPath xmlns:x15ac="http://schemas.microsoft.com/office/spreadsheetml/2010/11/ac" url="https://d.docs.live.net/f0ce14ad2bb30570/Desktop/excel 30 days/"/>
    </mc:Choice>
  </mc:AlternateContent>
  <xr:revisionPtr revIDLastSave="0" documentId="8_{CF935E71-A6C2-4CB6-BBE3-443C31ECB042}" xr6:coauthVersionLast="47" xr6:coauthVersionMax="47" xr10:uidLastSave="{00000000-0000-0000-0000-000000000000}"/>
  <bookViews>
    <workbookView xWindow="-110" yWindow="-110" windowWidth="19420" windowHeight="11500" firstSheet="1" activeTab="1" xr2:uid="{26D4546B-D2A1-4444-8EAF-A6228F96F0C1}"/>
  </bookViews>
  <sheets>
    <sheet name="Data" sheetId="2" r:id="rId1"/>
    <sheet name="customer centre report" sheetId="5" r:id="rId2"/>
    <sheet name="pivots" sheetId="6" r:id="rId3"/>
    <sheet name="Assets" sheetId="4" r:id="rId4"/>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8"/>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6" i="6" l="1"/>
  <c r="L33" i="5" s="1"/>
  <c r="H98" i="6"/>
  <c r="H102" i="6" s="1"/>
  <c r="K104" i="6" s="1"/>
  <c r="L39" i="5" s="1"/>
  <c r="H97" i="6"/>
  <c r="H101" i="6" s="1"/>
  <c r="K103" i="6" s="1"/>
  <c r="L38" i="5" s="1"/>
  <c r="H96" i="6"/>
  <c r="K102" i="6" s="1"/>
  <c r="L37" i="5" s="1"/>
  <c r="O22" i="5" a="1"/>
  <c r="O22" i="5" s="1"/>
  <c r="N23" i="5" a="1"/>
  <c r="N23" i="5" s="1"/>
  <c r="K49" i="6"/>
  <c r="I53" i="6" s="1"/>
  <c r="F52" i="6" a="1"/>
  <c r="F52"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56" i="6" l="1"/>
  <c r="J55" i="6"/>
  <c r="J54" i="6"/>
  <c r="J53" i="6"/>
  <c r="J52" i="6"/>
  <c r="I52" i="6"/>
  <c r="I56" i="6"/>
  <c r="I55" i="6"/>
  <c r="I5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2C1003-8884-45B1-8409-88ADFE45B3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47C3C44-D902-4110-BAF1-6A3102EAEA14}"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0B355D38-76DB-4D99-819D-3805CEDCDE8A}"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<sst xmlns="http://schemas.openxmlformats.org/spreadsheetml/2006/main" count="3173" uniqueCount="1086">
  <si>
    <t>Call Centre Data</t>
  </si>
  <si>
    <t>Call number</t>
  </si>
  <si>
    <t>Customer ID</t>
  </si>
  <si>
    <t>Duration</t>
  </si>
  <si>
    <t>Representative</t>
  </si>
  <si>
    <t>Date of Call</t>
  </si>
  <si>
    <t>Purchase Amount</t>
  </si>
  <si>
    <t>Satisfaction Rating</t>
  </si>
  <si>
    <t>FY</t>
  </si>
  <si>
    <t>Day of week</t>
  </si>
  <si>
    <t>Duration Bucket</t>
  </si>
  <si>
    <t>Rating rounded</t>
  </si>
  <si>
    <t>Gedner</t>
  </si>
  <si>
    <t>Age</t>
  </si>
  <si>
    <t>City</t>
  </si>
  <si>
    <t>Call_7271</t>
  </si>
  <si>
    <t>C0003</t>
  </si>
  <si>
    <t>R05</t>
  </si>
  <si>
    <t>C0001</t>
  </si>
  <si>
    <t>Male</t>
  </si>
  <si>
    <t>Columbus</t>
  </si>
  <si>
    <t>Call_7272</t>
  </si>
  <si>
    <t>C0004</t>
  </si>
  <si>
    <t>C0002</t>
  </si>
  <si>
    <t>Cleveland</t>
  </si>
  <si>
    <t>Call_7273</t>
  </si>
  <si>
    <t>C0005</t>
  </si>
  <si>
    <t>R02</t>
  </si>
  <si>
    <t>Cincinnati</t>
  </si>
  <si>
    <t>Call_7274</t>
  </si>
  <si>
    <t>C0014</t>
  </si>
  <si>
    <t>Call_7275</t>
  </si>
  <si>
    <t>C0011</t>
  </si>
  <si>
    <t>R01</t>
  </si>
  <si>
    <t>Call_7276</t>
  </si>
  <si>
    <t>C0006</t>
  </si>
  <si>
    <t>Call_7277</t>
  </si>
  <si>
    <t>C0007</t>
  </si>
  <si>
    <t>Female</t>
  </si>
  <si>
    <t>Call_7278</t>
  </si>
  <si>
    <t>R04</t>
  </si>
  <si>
    <t>C0008</t>
  </si>
  <si>
    <t>Call_7279</t>
  </si>
  <si>
    <t>C0009</t>
  </si>
  <si>
    <t>Call_7280</t>
  </si>
  <si>
    <t>C0010</t>
  </si>
  <si>
    <t>R03</t>
  </si>
  <si>
    <t>Call_7281</t>
  </si>
  <si>
    <t>Call_7282</t>
  </si>
  <si>
    <t>C0013</t>
  </si>
  <si>
    <t>C0012</t>
  </si>
  <si>
    <t>Call_7283</t>
  </si>
  <si>
    <t>Call_7284</t>
  </si>
  <si>
    <t>Call_7285</t>
  </si>
  <si>
    <t>C0015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</si>
  <si>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</si>
  <si>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</si>
  <si>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</si>
  <si>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</si>
  <si>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</si>
  <si>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</si>
  <si>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</si>
  <si>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</si>
  <si>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</si>
  <si>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</si>
  <si>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</si>
  <si>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</si>
  <si>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</si>
  <si>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</si>
  <si>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</si>
  <si>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</si>
  <si>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</si>
  <si>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</si>
  <si>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</si>
  <si>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</si>
  <si>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</si>
  <si>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</si>
  <si>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</si>
  <si>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</si>
  <si>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</si>
  <si>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</si>
  <si>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</si>
  <si>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</si>
  <si>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</si>
  <si>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</si>
  <si>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</si>
  <si>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</si>
  <si>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</si>
  <si>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</si>
  <si>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</si>
  <si>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</si>
  <si>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</si>
  <si>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</si>
  <si>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</si>
  <si>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</si>
  <si>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</si>
  <si>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</si>
  <si>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</si>
  <si>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</si>
  <si>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</si>
  <si>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</si>
  <si>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</si>
  <si>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</si>
  <si>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</si>
  <si>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</si>
  <si>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</si>
  <si>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</si>
  <si>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</si>
  <si>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</si>
  <si>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</si>
  <si>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</si>
  <si>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</si>
  <si>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</si>
  <si>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</si>
  <si>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</si>
  <si>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</si>
  <si>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</si>
  <si>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</si>
  <si>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</si>
  <si>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</si>
  <si>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</si>
  <si>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</si>
  <si>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</si>
  <si>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</si>
  <si>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</si>
  <si>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</si>
  <si>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</si>
  <si>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</si>
  <si>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</si>
  <si>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</si>
  <si>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</si>
  <si>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</si>
  <si>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</si>
  <si>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</si>
  <si>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</si>
  <si>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</si>
  <si>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</si>
  <si>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</si>
  <si>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</si>
  <si>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</si>
  <si>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</si>
  <si>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</si>
  <si>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</si>
  <si>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</si>
  <si>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</si>
  <si>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</si>
  <si>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</si>
  <si>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</si>
  <si>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</si>
  <si>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</si>
  <si>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</si>
  <si>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</si>
  <si>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</si>
  <si>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</si>
  <si>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</si>
  <si>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</si>
  <si>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</si>
  <si>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</si>
  <si>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</si>
  <si>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</si>
  <si>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</si>
  <si>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</si>
  <si>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</si>
  <si>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</si>
  <si>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</si>
  <si>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</si>
  <si>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</si>
  <si>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</si>
  <si>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</si>
  <si>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</si>
  <si>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</si>
  <si>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</si>
  <si>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</si>
  <si>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</si>
  <si>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</si>
  <si>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</si>
  <si>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</si>
  <si>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</si>
  <si>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</si>
  <si>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</si>
  <si>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</si>
  <si>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</si>
  <si>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</si>
  <si>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</si>
  <si>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</si>
  <si>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</si>
  <si>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</si>
  <si>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</si>
  <si>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</si>
  <si>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</si>
  <si>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</si>
  <si>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</si>
  <si>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</si>
  <si>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</si>
  <si>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</si>
  <si>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</si>
  <si>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</si>
  <si>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</si>
  <si>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</si>
  <si>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</si>
  <si>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</si>
  <si>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</si>
  <si>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</si>
  <si>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</si>
  <si>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</si>
  <si>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</si>
  <si>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</si>
  <si>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</si>
  <si>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</si>
  <si>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</si>
  <si>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</si>
  <si>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</si>
  <si>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</si>
  <si>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</si>
  <si>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</si>
  <si>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</si>
  <si>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</si>
  <si>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</si>
  <si>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</si>
  <si>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</si>
  <si>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</si>
  <si>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</si>
  <si>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</si>
  <si>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</si>
  <si>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</si>
  <si>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</si>
  <si>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</si>
  <si>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</si>
  <si>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</si>
  <si>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</si>
  <si>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</si>
  <si>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</si>
  <si>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</si>
  <si>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</si>
  <si>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</si>
  <si>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</si>
  <si>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</si>
  <si>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</si>
  <si>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</si>
  <si>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</si>
  <si>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</si>
  <si>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</si>
  <si>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</si>
  <si>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</si>
  <si>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</si>
  <si>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</si>
  <si>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</si>
  <si>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</si>
  <si>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</si>
  <si>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</si>
  <si>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</si>
  <si>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</si>
  <si>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</si>
  <si>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</si>
  <si>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</si>
  <si>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</si>
  <si>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</si>
  <si>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</si>
  <si>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</si>
  <si>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</si>
  <si>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</si>
  <si>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</si>
  <si>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</si>
  <si>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</si>
  <si>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</si>
  <si>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</si>
  <si>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</si>
  <si>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</si>
  <si>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</si>
  <si>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</si>
  <si>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</si>
  <si>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</si>
  <si>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</si>
  <si>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</si>
  <si>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</si>
  <si>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</si>
  <si>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</si>
  <si>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</si>
  <si>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</si>
  <si>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</si>
  <si>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</si>
  <si>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</si>
  <si>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</si>
  <si>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</si>
  <si>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</si>
  <si>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</si>
  <si>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</si>
  <si>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</si>
  <si>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</si>
  <si>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</si>
  <si>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</si>
  <si>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</si>
  <si>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</si>
  <si>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</si>
  <si>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</si>
  <si>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</si>
  <si>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</si>
  <si>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</si>
  <si>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</si>
  <si>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</si>
  <si>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</si>
  <si>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</si>
  <si>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</si>
  <si>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</si>
  <si>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</si>
  <si>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</si>
  <si>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</si>
  <si>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</si>
  <si>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</si>
  <si>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</si>
  <si>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</si>
  <si>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</si>
  <si>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</si>
  <si>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</si>
  <si>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</si>
  <si>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</si>
  <si>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</si>
  <si>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</si>
  <si>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</si>
  <si>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</si>
  <si>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</si>
  <si>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</si>
  <si>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</si>
  <si>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</si>
  <si>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</si>
  <si>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</si>
  <si>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</si>
  <si>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</si>
  <si>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</si>
  <si>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</si>
  <si>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</si>
  <si>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</si>
  <si>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</si>
  <si>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</si>
  <si>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</si>
  <si>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</si>
  <si>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</si>
  <si>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</si>
  <si>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</si>
  <si>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</si>
  <si>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</si>
  <si>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</si>
  <si>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</si>
  <si>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</si>
  <si>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</si>
  <si>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</si>
  <si>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</si>
  <si>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</si>
  <si>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</si>
  <si>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</si>
  <si>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</si>
  <si>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</si>
  <si>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</si>
  <si>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</si>
  <si>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</si>
  <si>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</si>
  <si>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</si>
  <si>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</si>
  <si>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</si>
  <si>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</si>
  <si>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</si>
  <si>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</si>
  <si>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</si>
  <si>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</si>
  <si>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</si>
  <si>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</si>
  <si>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</si>
  <si>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</si>
  <si>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</si>
  <si>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</si>
  <si>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</si>
  <si>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</si>
  <si>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</si>
  <si>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</si>
  <si>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</si>
  <si>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</si>
  <si>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</si>
  <si>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</si>
  <si>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</si>
  <si>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</si>
  <si>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</si>
  <si>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</si>
  <si>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</si>
  <si>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</si>
  <si>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</si>
  <si>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</si>
  <si>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</si>
  <si>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</si>
  <si>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</si>
  <si>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</si>
  <si>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</si>
  <si>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</si>
  <si>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</si>
  <si>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</si>
  <si>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</si>
  <si>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</si>
  <si>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</si>
  <si>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</si>
  <si>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</si>
  <si>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</si>
  <si>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</si>
  <si>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</si>
  <si>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</si>
  <si>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</si>
  <si>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</si>
  <si>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</si>
  <si>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</si>
  <si>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</si>
  <si>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</si>
  <si>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</si>
  <si>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</si>
  <si>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</si>
  <si>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</si>
  <si>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</si>
  <si>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</si>
  <si>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</si>
  <si>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</si>
  <si>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</si>
  <si>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</si>
  <si>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</si>
  <si>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</si>
  <si>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</si>
  <si>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</si>
  <si>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</si>
  <si>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</si>
  <si>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</si>
  <si>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</si>
  <si>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</si>
  <si>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</si>
  <si>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</si>
  <si>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</si>
  <si>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</si>
  <si>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</si>
  <si>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</si>
  <si>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</si>
  <si>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</si>
  <si>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</si>
  <si>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</si>
  <si>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</si>
  <si>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</si>
  <si>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</si>
  <si>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</si>
  <si>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</si>
  <si>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</si>
  <si>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</si>
  <si>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</si>
  <si>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</si>
  <si>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</si>
  <si>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</si>
  <si>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</si>
  <si>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</si>
  <si>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</si>
  <si>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</si>
  <si>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</si>
  <si>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</si>
  <si>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</si>
  <si>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</si>
  <si>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</si>
  <si>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</si>
  <si>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</si>
  <si>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</si>
  <si>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</si>
  <si>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</si>
  <si>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</si>
  <si>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</si>
  <si>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</si>
  <si>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</si>
  <si>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</si>
  <si>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</si>
  <si>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</si>
  <si>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</si>
  <si>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</si>
  <si>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</si>
  <si>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</si>
  <si>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</si>
  <si>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</si>
  <si>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</si>
  <si>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</si>
  <si>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</si>
  <si>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</si>
  <si>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</si>
  <si>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</si>
  <si>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</si>
  <si>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</si>
  <si>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</si>
  <si>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</si>
  <si>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</si>
  <si>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</si>
  <si>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</si>
  <si>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</si>
  <si>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</si>
  <si>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</si>
  <si>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</si>
  <si>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</si>
  <si>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</si>
  <si>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</si>
  <si>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</si>
  <si>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</si>
  <si>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</si>
  <si>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</si>
  <si>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</si>
  <si>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</si>
  <si>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</si>
  <si>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</si>
  <si>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</si>
  <si>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</si>
  <si>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</si>
  <si>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</si>
  <si>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</si>
  <si>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</si>
  <si>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</si>
  <si>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</si>
  <si>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</si>
  <si>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</si>
  <si>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</si>
  <si>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</si>
  <si>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</si>
  <si>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</si>
  <si>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</si>
  <si>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</si>
  <si>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</si>
  <si>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</si>
  <si>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</si>
  <si>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</si>
  <si>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</si>
  <si>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</si>
  <si>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</si>
  <si>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</si>
  <si>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</si>
  <si>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</si>
  <si>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</si>
  <si>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</si>
  <si>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</si>
  <si>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</si>
  <si>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</si>
  <si>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</si>
  <si>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</si>
  <si>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</si>
  <si>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</si>
  <si>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</si>
  <si>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</si>
  <si>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</si>
  <si>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</si>
  <si>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</si>
  <si>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</si>
  <si>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</si>
  <si>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</si>
  <si>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</si>
  <si>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</si>
  <si>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</si>
  <si>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</si>
  <si>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</si>
  <si>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</si>
  <si>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</si>
  <si>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</si>
  <si>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</si>
  <si>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</si>
  <si>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</si>
  <si>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</si>
  <si>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</si>
  <si>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</si>
  <si>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</si>
  <si>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</si>
  <si>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</si>
  <si>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</si>
  <si>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</si>
  <si>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</si>
  <si>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</si>
  <si>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</si>
  <si>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</si>
  <si>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</si>
  <si>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</si>
  <si>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</si>
  <si>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</si>
  <si>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</si>
  <si>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</si>
  <si>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</si>
  <si>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</si>
  <si>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</si>
  <si>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</si>
  <si>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</si>
  <si>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</si>
  <si>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</si>
  <si>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</si>
  <si>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</si>
  <si>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</si>
  <si>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</si>
  <si>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</si>
  <si>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</si>
  <si>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</si>
  <si>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</si>
  <si>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</si>
  <si>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</si>
  <si>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</si>
  <si>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</si>
  <si>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</si>
  <si>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</si>
  <si>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</si>
  <si>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</si>
  <si>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</si>
  <si>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</si>
  <si>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</si>
  <si>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</si>
  <si>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</si>
  <si>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</si>
  <si>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</si>
  <si>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</si>
  <si>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</si>
  <si>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</si>
  <si>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</si>
  <si>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</si>
  <si>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</si>
  <si>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</si>
  <si>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</si>
  <si>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</si>
  <si>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</si>
  <si>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</si>
  <si>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</si>
  <si>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</si>
  <si>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</si>
  <si>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</si>
  <si>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</si>
  <si>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</si>
  <si>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</si>
  <si>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</si>
  <si>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</si>
  <si>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</si>
  <si>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</si>
  <si>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</si>
  <si>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</si>
  <si>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</si>
  <si>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</si>
  <si>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</si>
  <si>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</si>
  <si>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</si>
  <si>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</si>
  <si>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</si>
  <si>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</si>
  <si>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</si>
  <si>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</si>
  <si>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</si>
  <si>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</si>
  <si>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</si>
  <si>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</si>
  <si>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</si>
  <si>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</si>
  <si>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</si>
  <si>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</si>
  <si>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</si>
  <si>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</si>
  <si>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</si>
  <si>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</si>
  <si>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</si>
  <si>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</si>
  <si>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</si>
  <si>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</si>
  <si>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</si>
  <si>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</si>
  <si>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</si>
  <si>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</si>
  <si>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</si>
  <si>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</si>
  <si>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</si>
  <si>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</si>
  <si>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</si>
  <si>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</si>
  <si>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</si>
  <si>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</si>
  <si>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</si>
  <si>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</si>
  <si>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</si>
  <si>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</si>
  <si>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</si>
  <si>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</si>
  <si>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</si>
  <si>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</si>
  <si>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</si>
  <si>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</si>
  <si>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</si>
  <si>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</si>
  <si>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</si>
  <si>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</si>
  <si>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</si>
  <si>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</si>
  <si>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</si>
  <si>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</si>
  <si>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</si>
  <si>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</si>
  <si>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</si>
  <si>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</si>
  <si>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</si>
  <si>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</si>
  <si>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</si>
  <si>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</si>
  <si>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</si>
  <si>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</si>
  <si>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</si>
  <si>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</si>
  <si>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</si>
  <si>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</si>
  <si>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</si>
  <si>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</si>
  <si>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</si>
  <si>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</si>
  <si>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</si>
  <si>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</si>
  <si>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</si>
  <si>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</si>
  <si>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</si>
  <si>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</si>
  <si>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</si>
  <si>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</si>
  <si>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</si>
  <si>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</si>
  <si>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</si>
  <si>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</si>
  <si>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</si>
  <si>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</si>
  <si>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</si>
  <si>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</si>
  <si>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</si>
  <si>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</si>
  <si>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</si>
  <si>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</si>
  <si>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</si>
  <si>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</si>
  <si>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</si>
  <si>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</si>
  <si>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</si>
  <si>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</si>
  <si>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</si>
  <si>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</si>
  <si>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</si>
  <si>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</si>
  <si>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</si>
  <si>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</si>
  <si>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</si>
  <si>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</si>
  <si>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</si>
  <si>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</si>
  <si>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</si>
  <si>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</si>
  <si>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</si>
  <si>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</si>
  <si>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</si>
  <si>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</si>
  <si>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</si>
  <si>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</si>
  <si>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</si>
  <si>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</si>
  <si>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</si>
  <si>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</si>
  <si>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</si>
  <si>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</si>
  <si>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</si>
  <si>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</si>
  <si>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</si>
  <si>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</si>
  <si>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</si>
  <si>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</si>
  <si>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</si>
  <si>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</si>
  <si>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</si>
  <si>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</si>
  <si>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</si>
  <si>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</si>
  <si>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</si>
  <si>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</si>
  <si>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</si>
  <si>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</si>
  <si>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</si>
  <si>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</si>
  <si>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</si>
  <si>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</si>
  <si>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</si>
  <si>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</si>
  <si>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</si>
  <si>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</si>
  <si>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</si>
  <si>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</si>
  <si>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</si>
  <si>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</si>
  <si>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</si>
  <si>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</si>
  <si>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</si>
  <si>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</si>
  <si>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</si>
  <si>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</si>
  <si>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</si>
  <si>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</si>
  <si>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</si>
  <si>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</si>
  <si>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</si>
  <si>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</si>
  <si>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</si>
  <si>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</si>
  <si>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</si>
  <si>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</si>
  <si>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</si>
  <si>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</si>
  <si>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</si>
  <si>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</si>
  <si>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</si>
  <si>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</si>
  <si>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</si>
  <si>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</si>
  <si>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</si>
  <si>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</si>
  <si>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</si>
  <si>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</si>
  <si>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</si>
  <si>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</si>
  <si>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</si>
  <si>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</si>
  <si>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</si>
  <si>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</si>
  <si>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</si>
  <si>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</si>
  <si>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</si>
  <si>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</si>
  <si>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</si>
  <si>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</si>
  <si>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</si>
  <si>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</si>
  <si>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</si>
  <si>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</si>
  <si>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</si>
  <si>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</si>
  <si>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</si>
  <si>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</si>
  <si>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</si>
  <si>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</si>
  <si>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</si>
  <si>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</si>
  <si>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</si>
  <si>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</si>
  <si>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</si>
  <si>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</si>
  <si>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</si>
  <si>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</si>
  <si>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</si>
  <si>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</si>
  <si>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</si>
  <si>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</si>
  <si>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</si>
  <si>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</si>
  <si>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</si>
  <si>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</si>
  <si>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</si>
  <si>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</si>
  <si>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</si>
  <si>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</si>
  <si>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</si>
  <si>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</si>
  <si>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</si>
  <si>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</si>
  <si>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</si>
  <si>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</si>
  <si>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</si>
  <si>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</si>
  <si>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</si>
  <si>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</si>
  <si>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</si>
  <si>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</si>
  <si>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</si>
  <si>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</si>
  <si>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</si>
  <si>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</si>
  <si>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</si>
  <si>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</si>
  <si>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</si>
  <si>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</si>
  <si>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</si>
  <si>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</si>
  <si>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</si>
  <si>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</si>
  <si>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</si>
  <si>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</si>
  <si>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</si>
  <si>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</si>
  <si>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</si>
  <si>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</si>
  <si>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</si>
  <si>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</si>
  <si>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</si>
  <si>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</si>
  <si>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</si>
  <si>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</si>
  <si>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</si>
  <si>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</si>
  <si>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</si>
  <si>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</si>
  <si>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</si>
  <si>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</si>
  <si>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</si>
  <si>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</si>
  <si>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</si>
  <si>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</si>
  <si>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</si>
  <si>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</si>
  <si>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</si>
  <si>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</si>
  <si>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</si>
  <si>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</si>
  <si>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</si>
  <si>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</si>
  <si>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</si>
  <si>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</si>
  <si>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</si>
  <si>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</si>
  <si>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</si>
  <si>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</si>
  <si>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</si>
  <si>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</si>
  <si>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</si>
  <si>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</si>
  <si>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</si>
  <si>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</si>
  <si>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</si>
  <si>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</si>
  <si>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</si>
  <si>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</si>
  <si>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</si>
  <si>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</si>
  <si>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</si>
  <si>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</si>
  <si>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</si>
  <si>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</si>
  <si>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</si>
  <si>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</si>
  <si>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</si>
  <si>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</si>
  <si>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</si>
  <si>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</si>
  <si>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</si>
  <si>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</si>
  <si>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</si>
  <si>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</si>
  <si>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</si>
  <si>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</si>
  <si>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</si>
  <si>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</si>
  <si>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</si>
  <si>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</si>
  <si>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</si>
  <si>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</si>
  <si>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</si>
  <si>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</si>
  <si>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</si>
  <si>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</si>
  <si>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</si>
  <si>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</si>
  <si>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</si>
  <si>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</si>
  <si>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</si>
  <si>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</si>
  <si>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</si>
  <si>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</si>
  <si>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</si>
  <si>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</si>
  <si>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</si>
  <si>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</si>
  <si>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</si>
  <si>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</si>
  <si>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</si>
  <si>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</si>
  <si>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</si>
  <si>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</si>
  <si>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</si>
  <si>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</si>
  <si>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</si>
  <si>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</si>
  <si>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</si>
  <si>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</si>
  <si>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</si>
  <si>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</si>
  <si>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</si>
  <si>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</si>
  <si>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</si>
  <si>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</si>
  <si>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</si>
  <si>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</si>
  <si>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</si>
  <si>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</si>
  <si>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</si>
  <si>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</si>
  <si>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</si>
  <si>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</si>
  <si>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</si>
  <si>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</si>
  <si>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</si>
  <si>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</si>
  <si>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</si>
  <si>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</si>
  <si>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</si>
  <si>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</si>
  <si>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</si>
  <si>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</si>
  <si>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</si>
  <si>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</si>
  <si>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</si>
  <si>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</si>
  <si>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</si>
  <si>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</si>
  <si>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</si>
  <si>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</si>
  <si>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</si>
  <si>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</si>
  <si>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</si>
  <si>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</si>
  <si>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</si>
  <si>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</si>
  <si>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</si>
  <si>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</si>
  <si>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</si>
  <si>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</si>
  <si>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</si>
  <si>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</si>
  <si>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</si>
  <si>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</si>
  <si>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</si>
  <si>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</si>
  <si>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</si>
  <si>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</si>
  <si>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</si>
  <si>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</si>
  <si>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</si>
  <si>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</si>
  <si>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</si>
  <si>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</si>
  <si>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</si>
  <si>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</si>
  <si>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</si>
  <si>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</si>
  <si>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</si>
  <si>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</si>
  <si>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</si>
  <si>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</si>
  <si>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</si>
  <si>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</si>
  <si>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 xml:space="preserve"> </t>
  </si>
  <si>
    <r>
      <rPr>
        <b/>
        <sz val="26"/>
        <color theme="0" tint="-0.34998626667073579"/>
        <rFont val="Aptos Narrow"/>
        <family val="2"/>
        <scheme val="minor"/>
      </rPr>
      <t>CALL CENTRE REPORT</t>
    </r>
    <r>
      <rPr>
        <sz val="26"/>
        <color theme="0" tint="-0.34998626667073579"/>
        <rFont val="Aptos Narrow"/>
        <family val="2"/>
        <scheme val="minor"/>
      </rPr>
      <t>-2023</t>
    </r>
  </si>
  <si>
    <t>TOTAL</t>
  </si>
  <si>
    <t>call count</t>
  </si>
  <si>
    <t>Total purchase</t>
  </si>
  <si>
    <t>Total duration</t>
  </si>
  <si>
    <t>Avg Rating</t>
  </si>
  <si>
    <t>5* calls</t>
  </si>
  <si>
    <t>Row Labels</t>
  </si>
  <si>
    <t>Sunday</t>
  </si>
  <si>
    <t>Monday</t>
  </si>
  <si>
    <t>Tuesday</t>
  </si>
  <si>
    <t>call count2</t>
  </si>
  <si>
    <t>Wednesday</t>
  </si>
  <si>
    <t>Jan</t>
  </si>
  <si>
    <t>Thursday</t>
  </si>
  <si>
    <t>Feb</t>
  </si>
  <si>
    <t>Friday</t>
  </si>
  <si>
    <t>Mar</t>
  </si>
  <si>
    <t>Saturday</t>
  </si>
  <si>
    <t>Apr</t>
  </si>
  <si>
    <t>Grand Total</t>
  </si>
  <si>
    <t>May</t>
  </si>
  <si>
    <t>Jun</t>
  </si>
  <si>
    <t>Jul</t>
  </si>
  <si>
    <t>Aug</t>
  </si>
  <si>
    <t>Sep</t>
  </si>
  <si>
    <t>Oct</t>
  </si>
  <si>
    <t>Nov</t>
  </si>
  <si>
    <t>Dec</t>
  </si>
  <si>
    <t>For graph</t>
  </si>
  <si>
    <t>Selected Rep</t>
  </si>
  <si>
    <t>Rep</t>
  </si>
  <si>
    <t>Calls</t>
  </si>
  <si>
    <t>Amount</t>
  </si>
  <si>
    <t>Sel.calls</t>
  </si>
  <si>
    <t>Sel.amount</t>
  </si>
  <si>
    <t>Column Labels</t>
  </si>
  <si>
    <t>Rep Summary</t>
  </si>
  <si>
    <t>% of calls</t>
  </si>
  <si>
    <t>Call Rank</t>
  </si>
  <si>
    <t>Amount Rank</t>
  </si>
  <si>
    <t>labels:</t>
  </si>
  <si>
    <t>Image:</t>
  </si>
  <si>
    <t>Rep ID</t>
  </si>
  <si>
    <t>Rep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</si>
</sst>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0"/>
    <numFmt numFmtId="166" formatCode="0.0"/>
    <numFmt numFmtId="167" formatCode="\$#,###.0\'\k\'"/>
    <numFmt numFmtId="168" formatCode="\$#,###.0,&quot;k&quot;"/>
    <numFmt numFmtId="169" formatCode="[$$-409]#,##0"/>
  </numFmts>
  <fonts count="9" x14ac:knownFonts="1">
    <font>
      <sz val="11"/>
      <color theme="1"/>
      <name val="Aptos Narrow"/>
      <family val="2"/>
      <scheme val="minor"/>
    </font>
    <font>
      <b/>
      <sz val="11"/>
      <color theme="1"/>
      <name val="Aptos Narrow"/>
      <family val="2"/>
      <scheme val="minor"/>
    </font>
    <font>
      <sz val="8"/>
      <name val="Aptos Narrow"/>
      <family val="2"/>
      <scheme val="minor"/>
    </font>
    <font>
      <sz val="18"/>
      <color theme="1"/>
      <name val="Aptos ExtraBold"/>
      <family val="2"/>
    </font>
    <font>
      <sz val="10"/>
      <color theme="1"/>
      <name val="Aptos Narrow"/>
      <family val="2"/>
      <scheme val="minor"/>
    </font>
    <font>
      <b/>
      <sz val="10"/>
      <color theme="1"/>
      <name val="Aptos Narrow"/>
      <family val="2"/>
      <scheme val="minor"/>
    </font>
    <font>
      <sz val="11"/>
      <color theme="0" tint="-0.34998626667073579"/>
      <name val="Aptos Narrow"/>
      <family val="2"/>
      <scheme val="minor"/>
    </font>
    <font>
      <sz val="26"/>
      <color theme="0" tint="-0.34998626667073579"/>
      <name val="Aptos Narrow"/>
      <family val="2"/>
      <scheme val="minor"/>
    </font>
    <font>
      <b/>
      <sz val="26"/>
      <color theme="0" tint="-0.34998626667073579"/>
      <name val="Aptos Narrow"/>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5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3" borderId="0" xfId="0" applyFill="1"/>
    <xf numFmtId="0" fontId="0" fillId="0" borderId="0" xfId="0" applyAlignment="1">
      <alignment horizontal="left"/>
    </xf>
    <xf numFmtId="167" fontId="0" fillId="0" borderId="0" xfId="0" applyNumberFormat="1"/>
    <xf numFmtId="168"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9" xfId="0" applyFill="1" applyBorder="1"/>
    <xf numFmtId="0" fontId="4" fillId="5" borderId="0" xfId="0" applyFont="1" applyFill="1"/>
    <xf numFmtId="0" fontId="4" fillId="5" borderId="13" xfId="0" applyFont="1" applyFill="1" applyBorder="1"/>
    <xf numFmtId="0" fontId="4" fillId="5" borderId="10" xfId="0" applyFont="1" applyFill="1" applyBorder="1" applyAlignment="1">
      <alignment horizontal="left" indent="1"/>
    </xf>
    <xf numFmtId="169" fontId="4" fillId="5" borderId="0" xfId="0" applyNumberFormat="1" applyFont="1" applyFill="1"/>
    <xf numFmtId="169" fontId="4" fillId="5" borderId="13" xfId="0" applyNumberFormat="1" applyFont="1" applyFill="1" applyBorder="1"/>
    <xf numFmtId="0" fontId="4" fillId="5" borderId="6" xfId="0" applyFont="1" applyFill="1" applyBorder="1" applyAlignment="1">
      <alignment horizontal="left" indent="1"/>
    </xf>
    <xf numFmtId="169" fontId="4" fillId="5" borderId="11" xfId="0" applyNumberFormat="1" applyFont="1" applyFill="1" applyBorder="1"/>
    <xf numFmtId="169" fontId="4" fillId="5" borderId="4" xfId="0" applyNumberFormat="1" applyFont="1" applyFill="1" applyBorder="1"/>
    <xf numFmtId="0" fontId="1" fillId="5" borderId="12" xfId="0" applyFont="1" applyFill="1" applyBorder="1" applyAlignment="1">
      <alignment horizontal="right" indent="1"/>
    </xf>
    <xf numFmtId="0" fontId="1" fillId="5" borderId="7" xfId="0" applyFont="1" applyFill="1" applyBorder="1" applyAlignment="1">
      <alignment horizontal="right" indent="1"/>
    </xf>
    <xf numFmtId="0" fontId="5" fillId="5" borderId="10" xfId="0" applyFont="1" applyFill="1" applyBorder="1"/>
    <xf numFmtId="0" fontId="0" fillId="3" borderId="0" xfId="0" applyFill="1" applyAlignment="1">
      <alignment horizontal="left" vertical="top"/>
    </xf>
    <xf numFmtId="0" fontId="0" fillId="3" borderId="13" xfId="0" applyFill="1" applyBorder="1" applyAlignment="1">
      <alignment horizontal="left" vertical="top"/>
    </xf>
    <xf numFmtId="0" fontId="7" fillId="3" borderId="0" xfId="0" applyFont="1" applyFill="1" applyAlignment="1">
      <alignment horizontal="left" vertical="center"/>
    </xf>
    <xf numFmtId="0" fontId="0" fillId="3" borderId="0" xfId="0" applyFill="1" applyAlignment="1">
      <alignment horizontal="center" vertical="top"/>
    </xf>
    <xf numFmtId="0" fontId="0" fillId="3" borderId="13" xfId="0" applyFill="1" applyBorder="1" applyAlignment="1">
      <alignment horizontal="center" vertical="top"/>
    </xf>
    <xf numFmtId="0" fontId="6" fillId="3" borderId="0" xfId="0" applyFont="1" applyFill="1" applyAlignment="1">
      <alignment horizontal="center" vertical="top"/>
    </xf>
    <xf numFmtId="0" fontId="6" fillId="3" borderId="13" xfId="0" applyFont="1" applyFill="1" applyBorder="1" applyAlignment="1">
      <alignment horizontal="center" vertical="top"/>
    </xf>
    <xf numFmtId="0" fontId="7" fillId="3" borderId="0" xfId="0" applyFont="1" applyFill="1" applyAlignment="1">
      <alignment horizontal="left" vertical="center"/>
    </xf>
  </cellXfs>
  <cellStyles count="1">
    <cellStyle name="Normal" xfId="0" builtinId="0"/>
  </cellStyles>
  <dxfs count="18">
    <dxf>
      <fill>
        <patternFill>
          <bgColor theme="8" tint="0.39994506668294322"/>
        </patternFill>
      </fill>
      <border>
        <left style="thin">
          <color theme="1" tint="0.14996795556505021"/>
        </left>
        <right/>
        <vertical/>
        <horizontal/>
      </border>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i val="0"/>
      </font>
      <fill>
        <patternFill>
          <bgColor theme="8" tint="-0.24994659260841701"/>
        </patternFill>
      </fill>
      <border diagonalUp="0" diagonalDown="0">
        <left/>
        <right/>
        <top/>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25BABDA2-DB3D-41F6-98D0-3EE7CBB0176F}">
      <tableStyleElement type="wholeTable" dxfId="17"/>
    </tableStyle>
    <tableStyle name="Slicer Style 2" pivot="0" table="0" count="1" xr9:uid="{B332D02C-E6EE-4AFC-BCAE-E1BBB9DDD646}">
      <tableStyleElement type="wholeTable" dxfId="16"/>
    </tableStyle>
    <tableStyle name="Slicer Style 3" pivot="0" table="0" count="2" xr9:uid="{5E6E7A34-880C-4624-B51D-DF667DA64375}"/>
  </tableStyles>
  <colors>
    <mruColors>
      <color rgb="FF1B1B1B"/>
    </mruColors>
  </colors>
  <extLst>
    <ext xmlns:x14="http://schemas.microsoft.com/office/spreadsheetml/2009/9/main" uri="{46F421CA-312F-682f-3DD2-61675219B42D}">
      <x14:dxfs count="2">
        <dxf>
          <font>
            <b/>
            <i val="0"/>
          </font>
          <fill>
            <patternFill>
              <bgColor theme="8"/>
            </patternFill>
          </fill>
        </dxf>
        <dxf>
          <fill>
            <patternFill>
              <bgColor theme="0" tint="-0.1499679555650502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2"/>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10/relationships/person" Target="persons/perso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[excel-portfolio-project-Call-Centre-Analysis.xlsx]pivots!weekday trend</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pivots!$K$16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pivots!$J$17:$J$24</c:f>
              <c:strCache>
                <c:ptCount val="7"/>
                <c:pt idx="0">
                  <c:v>Sunday</c:v>
                </c:pt>
                <c:pt idx="1">
                  <c:v>Monday</c:v>
                </c:pt>
                <c:pt idx="2">
                  <c:v>Tuesday</c:v>
                </c:pt>
                <c:pt idx="3">
                  <c:v>Wednesday</c:v>
                </c:pt>
                <c:pt idx="4">
                  <c:v>Thursday</c:v>
                </c:pt>
                <c:pt idx="5">
                  <c:v>Friday</c:v>
                </c:pt>
                <c:pt idx="6">
                  <c:v>Saturday</c:v>
                </c:pt>
              </c:strCache>
            </c:strRef>
          </c:cat>
          <c:val>
            <c:numRef>
              <c:f>pivots!$K$17:$K$24</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8AD7-4537-AF8C-C869E44536CA}"/>
            </c:ext>
          </c:extLst>
        </c:ser>
        <c:dLbls>
          <c:showLegendKey val="0"/>
          <c:showVal val="0"/>
          <c:showCatName val="0"/>
          <c:showSerName val="0"/>
          <c:showPercent val="0"/>
          <c:showBubbleSize val="0"/>
        </c:dLbls>
        <c:gapWidth val="25"/>
        <c:axId val="140741919"/>
        <c:axId val="140744319"/>
      </c:barChart>
      <c:catAx>
        <c:axId val="1407419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44319"/>
        <c:crosses val="autoZero"/>
        <c:auto val="1"/>
        <c:lblAlgn val="ctr"/>
        <c:lblOffset val="100"/>
        <c:noMultiLvlLbl val="0"/>
      </c:catAx>
      <c:valAx>
        <c:axId val="140744319"/>
        <c:scaling>
          <c:orientation val="minMax"/>
        </c:scaling>
        <c:delete val="1"/>
        <c:axPos val="b"/>
        <c:numFmt formatCode="#,##0" sourceLinked="1"/>
        <c:majorTickMark val="out"/>
        <c:minorTickMark val="none"/>
        <c:tickLblPos val="nextTo"/>
        <c:crossAx val="14074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[excel-portfolio-project-Call-Centre-Analysis.xlsx]pivots!Monthly trend</c:name>
    <c:fmtId val="10"/>
  </c:pivotSource>
  <c:chart>
    <c:title>
      <c:layout>
        <c:manualLayout>
          <c:xMode val="edge"/>
          <c:yMode val="edge"/>
          <c:x val="2.574051880304145E-2"/>
          <c:y val="2.77404527518565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6">
                  <a:lumMod val="75000"/>
                </a:schemeClr>
              </a:gs>
              <a:gs pos="0">
                <a:schemeClr val="accent6">
                  <a:lumMod val="60000"/>
                  <a:lumOff val="40000"/>
                  <a:alpha val="50000"/>
                </a:schemeClr>
              </a:gs>
            </a:gsLst>
            <a:lin ang="16200000" scaled="1"/>
            <a:tileRect/>
          </a:gra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chemeClr val="accent6">
                <a:lumMod val="75000"/>
              </a:schemeClr>
            </a:solidFill>
            <a:round/>
          </a:ln>
          <a:effectLst/>
        </c:spPr>
        <c:marker>
          <c:symbol val="circle"/>
          <c:size val="7"/>
          <c:spPr>
            <a:solidFill>
              <a:schemeClr val="bg1">
                <a:lumMod val="95000"/>
              </a:schemeClr>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pivots!$C$20</c:f>
              <c:strCache>
                <c:ptCount val="1"/>
                <c:pt idx="0">
                  <c:v>call count2</c:v>
                </c:pt>
              </c:strCache>
            </c:strRef>
          </c:tx>
          <c:spPr>
            <a:gradFill flip="none" rotWithShape="1">
              <a:gsLst>
                <a:gs pos="100000">
                  <a:schemeClr val="accent6">
                    <a:lumMod val="75000"/>
                  </a:schemeClr>
                </a:gs>
                <a:gs pos="0">
                  <a:schemeClr val="accent6">
                    <a:lumMod val="60000"/>
                    <a:lumOff val="40000"/>
                    <a:alpha val="50000"/>
                  </a:schemeClr>
                </a:gs>
              </a:gsLst>
              <a:lin ang="16200000" scaled="1"/>
              <a:tileRect/>
            </a:gradFill>
            <a:ln>
              <a:solidFill>
                <a:schemeClr val="bg1"/>
              </a:solidFill>
            </a:ln>
            <a:effectLst/>
          </c:spP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pivots!$C$21:$C$33</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6238-40FC-B2D4-9C06F7143E09}"/>
            </c:ext>
          </c:extLst>
        </c:ser>
        <c:dLbls>
          <c:showLegendKey val="0"/>
          <c:showVal val="0"/>
          <c:showCatName val="0"/>
          <c:showSerName val="0"/>
          <c:showPercent val="0"/>
          <c:showBubbleSize val="0"/>
        </c:dLbls>
        <c:axId val="909322687"/>
        <c:axId val="1229600031"/>
      </c:areaChart>
      <c:lineChart>
        <c:grouping val="standard"/>
        <c:varyColors val="0"/>
        <c:ser>
          <c:idx val="0"/>
          <c:order val="0"/>
          <c:tx>
            <c:strRef>
              <c:f>pivots!$B$20</c:f>
              <c:strCache>
                <c:ptCount val="1"/>
                <c:pt idx="0">
                  <c:v>call count</c:v>
                </c:pt>
              </c:strCache>
            </c:strRef>
          </c:tx>
          <c:spPr>
            <a:ln w="38100" cap="rnd">
              <a:solidFill>
                <a:schemeClr val="accent6">
                  <a:lumMod val="75000"/>
                </a:schemeClr>
              </a:solidFill>
              <a:round/>
            </a:ln>
            <a:effectLst/>
          </c:spPr>
          <c:marker>
            <c:symbol val="circle"/>
            <c:size val="7"/>
            <c:spPr>
              <a:solidFill>
                <a:schemeClr val="bg1">
                  <a:lumMod val="95000"/>
                </a:schemeClr>
              </a:solidFill>
              <a:ln w="9525">
                <a:solidFill>
                  <a:schemeClr val="tx1"/>
                </a:solidFill>
              </a:ln>
              <a:effectLst/>
            </c:spPr>
          </c:marke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pivots!$B$21:$B$33</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6238-40FC-B2D4-9C06F7143E09}"/>
            </c:ext>
          </c:extLst>
        </c:ser>
        <c:dLbls>
          <c:showLegendKey val="0"/>
          <c:showVal val="0"/>
          <c:showCatName val="0"/>
          <c:showSerName val="0"/>
          <c:showPercent val="0"/>
          <c:showBubbleSize val="0"/>
        </c:dLbls>
        <c:marker val="1"/>
        <c:smooth val="0"/>
        <c:axId val="909322687"/>
        <c:axId val="1229600031"/>
      </c:lineChart>
      <c:catAx>
        <c:axId val="90932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600031"/>
        <c:crosses val="autoZero"/>
        <c:auto val="1"/>
        <c:lblAlgn val="ctr"/>
        <c:lblOffset val="100"/>
        <c:noMultiLvlLbl val="0"/>
      </c:catAx>
      <c:valAx>
        <c:axId val="1229600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2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101600" dist="50800" dir="540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6">
                    <a:lumMod val="75000"/>
                  </a:schemeClr>
                </a:solidFill>
              </a:rPr>
              <a:t>Amount</a:t>
            </a:r>
          </a:p>
        </c:rich>
      </c:tx>
      <c:layout>
        <c:manualLayout>
          <c:xMode val="edge"/>
          <c:yMode val="edge"/>
          <c:x val="3.5434319404324899E-2"/>
          <c:y val="2.8148067701643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pivots!$F$52:$F$56</c:f>
              <c:strCache>
                <c:ptCount val="5"/>
                <c:pt idx="0">
                  <c:v>R01</c:v>
                </c:pt>
                <c:pt idx="1">
                  <c:v>R02</c:v>
                </c:pt>
                <c:pt idx="2">
                  <c:v>R03</c:v>
                </c:pt>
                <c:pt idx="3">
                  <c:v>R04</c:v>
                </c:pt>
                <c:pt idx="4">
                  <c:v>R05</c:v>
                </c:pt>
              </c:strCache>
            </c:strRef>
          </c:cat>
          <c:val>
            <c:numRef>
              <c:f>pivots!$H$52:$H$56</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5A13-4D14-8F80-BA053FFD38D8}"/>
            </c:ext>
          </c:extLst>
        </c:ser>
        <c:ser>
          <c:idx val="1"/>
          <c:order val="1"/>
          <c:tx>
            <c:strRef>
              <c:f>pivots!$J$51</c:f>
              <c:strCache>
                <c:ptCount val="1"/>
                <c:pt idx="0">
                  <c:v>Sel.amount</c:v>
                </c:pt>
              </c:strCache>
            </c:strRef>
          </c:tx>
          <c:spPr>
            <a:gradFill flip="none" rotWithShape="1">
              <a:gsLst>
                <a:gs pos="0">
                  <a:schemeClr val="accent6">
                    <a:lumMod val="75000"/>
                  </a:schemeClr>
                </a:gs>
                <a:gs pos="100000">
                  <a:schemeClr val="accent6">
                    <a:lumMod val="75000"/>
                    <a:alpha val="61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pivots!$J$52:$J$56</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5A13-4D14-8F80-BA053FFD38D8}"/>
            </c:ext>
          </c:extLst>
        </c:ser>
        <c:dLbls>
          <c:dLblPos val="outEnd"/>
          <c:showLegendKey val="0"/>
          <c:showVal val="1"/>
          <c:showCatName val="0"/>
          <c:showSerName val="0"/>
          <c:showPercent val="0"/>
          <c:showBubbleSize val="0"/>
        </c:dLbls>
        <c:gapWidth val="25"/>
        <c:overlap val="100"/>
        <c:axId val="460330191"/>
        <c:axId val="460315791"/>
      </c:barChart>
      <c:catAx>
        <c:axId val="460330191"/>
        <c:scaling>
          <c:orientation val="maxMin"/>
        </c:scaling>
        <c:delete val="1"/>
        <c:axPos val="l"/>
        <c:numFmt formatCode="General" sourceLinked="1"/>
        <c:majorTickMark val="none"/>
        <c:minorTickMark val="none"/>
        <c:tickLblPos val="nextTo"/>
        <c:crossAx val="460315791"/>
        <c:crosses val="autoZero"/>
        <c:auto val="1"/>
        <c:lblAlgn val="ctr"/>
        <c:lblOffset val="100"/>
        <c:noMultiLvlLbl val="0"/>
      </c:catAx>
      <c:valAx>
        <c:axId val="460315791"/>
        <c:scaling>
          <c:orientation val="minMax"/>
        </c:scaling>
        <c:delete val="1"/>
        <c:axPos val="t"/>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46033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5">
                    <a:lumMod val="75000"/>
                  </a:schemeClr>
                </a:solidFill>
              </a:rPr>
              <a:t>Calls</a:t>
            </a:r>
          </a:p>
        </c:rich>
      </c:tx>
      <c:layout>
        <c:manualLayout>
          <c:xMode val="edge"/>
          <c:yMode val="edge"/>
          <c:x val="2.1742373500578459E-2"/>
          <c:y val="2.34276452855276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pivots!$F$52:$F$56</c:f>
              <c:strCache>
                <c:ptCount val="5"/>
                <c:pt idx="0">
                  <c:v>R01</c:v>
                </c:pt>
                <c:pt idx="1">
                  <c:v>R02</c:v>
                </c:pt>
                <c:pt idx="2">
                  <c:v>R03</c:v>
                </c:pt>
                <c:pt idx="3">
                  <c:v>R04</c:v>
                </c:pt>
                <c:pt idx="4">
                  <c:v>R05</c:v>
                </c:pt>
              </c:strCache>
            </c:strRef>
          </c:cat>
          <c:val>
            <c:numRef>
              <c:f>pivots!$G$52:$G$56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D4C4-49C6-A1D0-8B1DFAE6F178}"/>
            </c:ext>
          </c:extLst>
        </c:ser>
        <c:ser>
          <c:idx val="1"/>
          <c:order val="1"/>
          <c:tx>
            <c:strRef>
              <c:f>pivots!$I$51</c:f>
              <c:strCache>
                <c:ptCount val="1"/>
                <c:pt idx="0">
                  <c:v>Sel.calls</c:v>
                </c:pt>
              </c:strCache>
            </c:strRef>
          </c:tx>
          <c:spPr>
            <a:gradFill flip="none" rotWithShape="1">
              <a:gsLst>
                <a:gs pos="0">
                  <a:schemeClr val="accent5">
                    <a:lumMod val="75000"/>
                  </a:schemeClr>
                </a:gs>
                <a:gs pos="100000">
                  <a:schemeClr val="accent5">
                    <a:lumMod val="75000"/>
                    <a:alpha val="54000"/>
                  </a:schemeClr>
                </a:gs>
              </a:gsLst>
              <a:lin ang="10800000" scaled="1"/>
              <a:tileRect/>
            </a:gradFill>
            <a:ln>
              <a:noFill/>
            </a:ln>
            <a:effectLst/>
          </c:spPr>
          <c:invertIfNegative val="0"/>
          <c:val>
            <c:numRef>
              <c:f>pivots!$I$52:$I$56</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D4C4-49C6-A1D0-8B1DFAE6F178}"/>
            </c:ext>
          </c:extLst>
        </c:ser>
        <c:dLbls>
          <c:showLegendKey val="0"/>
          <c:showVal val="0"/>
          <c:showCatName val="0"/>
          <c:showSerName val="0"/>
          <c:showPercent val="0"/>
          <c:showBubbleSize val="0"/>
        </c:dLbls>
        <c:gapWidth val="25"/>
        <c:overlap val="100"/>
        <c:axId val="460330191"/>
        <c:axId val="460315791"/>
      </c:barChart>
      <c:catAx>
        <c:axId val="46033019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15791"/>
        <c:crosses val="autoZero"/>
        <c:auto val="1"/>
        <c:lblAlgn val="ctr"/>
        <c:lblOffset val="100"/>
        <c:noMultiLvlLbl val="0"/>
      </c:catAx>
      <c:valAx>
        <c:axId val="460315791"/>
        <c:scaling>
          <c:orientation val="minMax"/>
          <c:min val="0"/>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6033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[excel-portfolio-project-Call-Centre-Analysis.xlsx]pivots!PivotTable3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5">
                    <a:lumMod val="75000"/>
                  </a:schemeClr>
                </a:solidFill>
              </a:rPr>
              <a:t>Female</a:t>
            </a:r>
            <a:r>
              <a:rPr lang="en-IN" sz="1800" b="1" baseline="0"/>
              <a:t> vs. </a:t>
            </a:r>
            <a:r>
              <a:rPr lang="en-IN" sz="1800" b="1" baseline="0">
                <a:solidFill>
                  <a:schemeClr val="accent4"/>
                </a:solidFill>
              </a:rPr>
              <a:t>Male</a:t>
            </a:r>
            <a:r>
              <a:rPr lang="en-IN" sz="1800" b="1" baseline="0"/>
              <a:t> callers</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solidFill>
              <a:schemeClr val="bg1">
                <a:lumMod val="95000"/>
                <a:alpha val="50000"/>
              </a:schemeClr>
            </a:solidFill>
            <a:ln>
              <a:solidFill>
                <a:schemeClr val="dk1">
                  <a:lumMod val="25000"/>
                  <a:lumOff val="75000"/>
                </a:schemeClr>
              </a:solidFill>
            </a:ln>
            <a:effectLst>
              <a:outerShdw blurRad="50800" dist="50800" dir="5400000" sx="1000" sy="1000" algn="ctr" rotWithShape="0">
                <a:srgbClr val="000000"/>
              </a:outerShdw>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pivots!$B$77:$B$78</c:f>
              <c:strCache>
                <c:ptCount val="1"/>
                <c:pt idx="0">
                  <c:v>Female</c:v>
                </c:pt>
              </c:strCache>
            </c:strRef>
          </c:tx>
          <c:spPr>
            <a:solidFill>
              <a:schemeClr val="accent5">
                <a:lumMod val="75000"/>
              </a:schemeClr>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pivots!$B$79:$B$82</c:f>
              <c:numCache>
                <c:formatCode>#,##0</c:formatCode>
                <c:ptCount val="3"/>
                <c:pt idx="0">
                  <c:v>144</c:v>
                </c:pt>
                <c:pt idx="1">
                  <c:v>326</c:v>
                </c:pt>
                <c:pt idx="2">
                  <c:v>129</c:v>
                </c:pt>
              </c:numCache>
            </c:numRef>
          </c:val>
          <c:extLst>
            <c:ext xmlns:c16="http://schemas.microsoft.com/office/drawing/2014/chart" uri="{C3380CC4-5D6E-409C-BE32-E72D297353CC}">
              <c16:uniqueId val="{00000000-F1CB-4979-85D2-4853A64A8D93}"/>
            </c:ext>
          </c:extLst>
        </c:ser>
        <c:ser>
          <c:idx val="1"/>
          <c:order val="1"/>
          <c:tx>
            <c:strRef>
              <c:f>pivots!$C$77:$C$78</c:f>
              <c:strCache>
                <c:ptCount val="1"/>
                <c:pt idx="0">
                  <c:v>Male</c:v>
                </c:pt>
              </c:strCache>
            </c:strRef>
          </c:tx>
          <c:spPr>
            <a:solidFill>
              <a:schemeClr val="accent4"/>
            </a:solidFill>
            <a:ln>
              <a:noFill/>
            </a:ln>
            <a:effectLst/>
          </c:spPr>
          <c:invertIfNegative val="0"/>
          <c:dLbls>
            <c:spPr>
              <a:solidFill>
                <a:schemeClr val="bg1">
                  <a:lumMod val="95000"/>
                  <a:alpha val="50000"/>
                </a:schemeClr>
              </a:solidFill>
              <a:ln>
                <a:solidFill>
                  <a:schemeClr val="dk1">
                    <a:lumMod val="25000"/>
                    <a:lumOff val="75000"/>
                  </a:schemeClr>
                </a:solidFill>
              </a:ln>
              <a:effectLst>
                <a:outerShdw blurRad="50800" dist="50800" dir="5400000" sx="1000" sy="1000" algn="ctr" rotWithShape="0">
                  <a:srgbClr val="000000"/>
                </a:outerShdw>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pivots!$C$79:$C$82</c:f>
              <c:numCache>
                <c:formatCode>#,##0</c:formatCode>
                <c:ptCount val="3"/>
                <c:pt idx="0">
                  <c:v>132</c:v>
                </c:pt>
                <c:pt idx="1">
                  <c:v>63</c:v>
                </c:pt>
                <c:pt idx="2">
                  <c:v>206</c:v>
                </c:pt>
              </c:numCache>
            </c:numRef>
          </c:val>
          <c:extLst>
            <c:ext xmlns:c16="http://schemas.microsoft.com/office/drawing/2014/chart" uri="{C3380CC4-5D6E-409C-BE32-E72D297353CC}">
              <c16:uniqueId val="{00000001-F1CB-4979-85D2-4853A64A8D93}"/>
            </c:ext>
          </c:extLst>
        </c:ser>
        <c:dLbls>
          <c:showLegendKey val="0"/>
          <c:showVal val="0"/>
          <c:showCatName val="0"/>
          <c:showSerName val="0"/>
          <c:showPercent val="0"/>
          <c:showBubbleSize val="0"/>
        </c:dLbls>
        <c:gapWidth val="25"/>
        <c:overlap val="100"/>
        <c:axId val="614102527"/>
        <c:axId val="614110207"/>
      </c:barChart>
      <c:catAx>
        <c:axId val="61410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110207"/>
        <c:crosses val="autoZero"/>
        <c:auto val="1"/>
        <c:lblAlgn val="ctr"/>
        <c:lblOffset val="100"/>
        <c:noMultiLvlLbl val="0"/>
      </c:catAx>
      <c:valAx>
        <c:axId val="614110207"/>
        <c:scaling>
          <c:orientation val="minMax"/>
        </c:scaling>
        <c:delete val="1"/>
        <c:axPos val="l"/>
        <c:numFmt formatCode="0%" sourceLinked="1"/>
        <c:majorTickMark val="none"/>
        <c:minorTickMark val="none"/>
        <c:tickLblPos val="nextTo"/>
        <c:crossAx val="61410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[excel-portfolio-project-Call-Centre-Analysis.xlsx]pivots!rep satisfaction</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accent1"/>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pivots!$B$94</c:f>
              <c:strCache>
                <c:ptCount val="1"/>
                <c:pt idx="0">
                  <c:v>Total</c:v>
                </c:pt>
              </c:strCache>
            </c:strRef>
          </c:tx>
          <c:spPr>
            <a:solidFill>
              <a:schemeClr val="accent1"/>
            </a:solidFill>
            <a:ln>
              <a:noFill/>
            </a:ln>
            <a:effectLst/>
          </c:spPr>
          <c:invertIfNegative val="0"/>
          <c:cat>
            <c:strRef>
              <c:f>pivots!$A$95:$A$101</c:f>
              <c:strCache>
                <c:ptCount val="6"/>
                <c:pt idx="0">
                  <c:v>0</c:v>
                </c:pt>
                <c:pt idx="1">
                  <c:v>1</c:v>
                </c:pt>
                <c:pt idx="2">
                  <c:v>2</c:v>
                </c:pt>
                <c:pt idx="3">
                  <c:v>3</c:v>
                </c:pt>
                <c:pt idx="4">
                  <c:v>4</c:v>
                </c:pt>
                <c:pt idx="5">
                  <c:v>5</c:v>
                </c:pt>
              </c:strCache>
            </c:strRef>
          </c:cat>
          <c:val>
            <c:numRef>
              <c:f>pivots!$B$95:$B$101</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968E-455A-B477-E19023AE1F56}"/>
            </c:ext>
          </c:extLst>
        </c:ser>
        <c:dLbls>
          <c:showLegendKey val="0"/>
          <c:showVal val="0"/>
          <c:showCatName val="0"/>
          <c:showSerName val="0"/>
          <c:showPercent val="0"/>
          <c:showBubbleSize val="0"/>
        </c:dLbls>
        <c:gapWidth val="10"/>
        <c:overlap val="-27"/>
        <c:axId val="1743683504"/>
        <c:axId val="1743687824"/>
      </c:barChart>
      <c:catAx>
        <c:axId val="174368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687824"/>
        <c:crosses val="autoZero"/>
        <c:auto val="1"/>
        <c:lblAlgn val="ctr"/>
        <c:lblOffset val="100"/>
        <c:noMultiLvlLbl val="0"/>
      </c:catAx>
      <c:valAx>
        <c:axId val="1743687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68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[excel-portfolio-project-Call-Centre-Analysis.xlsx]pivots!weekday trend</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pivots!$K$16</c:f>
              <c:strCache>
                <c:ptCount val="1"/>
                <c:pt idx="0">
                  <c:v>Total</c:v>
                </c:pt>
              </c:strCache>
            </c:strRef>
          </c:tx>
          <c:spPr>
            <a:solidFill>
              <a:schemeClr val="accent1"/>
            </a:solidFill>
            <a:ln>
              <a:noFill/>
            </a:ln>
            <a:effectLst/>
          </c:spPr>
          <c:invertIfNegative val="0"/>
          <c:cat>
            <c:strRef>
              <c:f>pivots!$J$17:$J$24</c:f>
              <c:strCache>
                <c:ptCount val="7"/>
                <c:pt idx="0">
                  <c:v>Sunday</c:v>
                </c:pt>
                <c:pt idx="1">
                  <c:v>Monday</c:v>
                </c:pt>
                <c:pt idx="2">
                  <c:v>Tuesday</c:v>
                </c:pt>
                <c:pt idx="3">
                  <c:v>Wednesday</c:v>
                </c:pt>
                <c:pt idx="4">
                  <c:v>Thursday</c:v>
                </c:pt>
                <c:pt idx="5">
                  <c:v>Friday</c:v>
                </c:pt>
                <c:pt idx="6">
                  <c:v>Saturday</c:v>
                </c:pt>
              </c:strCache>
            </c:strRef>
          </c:cat>
          <c:val>
            <c:numRef>
              <c:f>pivots!$K$17:$K$24</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5FF4-4991-A35C-FC97D26D4CF7}"/>
            </c:ext>
          </c:extLst>
        </c:ser>
        <c:dLbls>
          <c:showLegendKey val="0"/>
          <c:showVal val="0"/>
          <c:showCatName val="0"/>
          <c:showSerName val="0"/>
          <c:showPercent val="0"/>
          <c:showBubbleSize val="0"/>
        </c:dLbls>
        <c:gapWidth val="182"/>
        <c:axId val="140741919"/>
        <c:axId val="140744319"/>
      </c:barChart>
      <c:catAx>
        <c:axId val="1407419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44319"/>
        <c:crosses val="autoZero"/>
        <c:auto val="1"/>
        <c:lblAlgn val="ctr"/>
        <c:lblOffset val="100"/>
        <c:noMultiLvlLbl val="0"/>
      </c:catAx>
      <c:valAx>
        <c:axId val="140744319"/>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4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pivots!$F$52:$F$56</c:f>
              <c:strCache>
                <c:ptCount val="5"/>
                <c:pt idx="0">
                  <c:v>R01</c:v>
                </c:pt>
                <c:pt idx="1">
                  <c:v>R02</c:v>
                </c:pt>
                <c:pt idx="2">
                  <c:v>R03</c:v>
                </c:pt>
                <c:pt idx="3">
                  <c:v>R04</c:v>
                </c:pt>
                <c:pt idx="4">
                  <c:v>R05</c:v>
                </c:pt>
              </c:strCache>
            </c:strRef>
          </c:cat>
          <c:val>
            <c:numRef>
              <c:f>pivots!$G$52:$G$56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39F-4F85-8DE3-334326ED3A11}"/>
            </c:ext>
          </c:extLst>
        </c:ser>
        <c:ser>
          <c:idx val="1"/>
          <c:order val="1"/>
          <c:tx>
            <c:strRef>
              <c:f>pivots!$I$51</c:f>
              <c:strCache>
                <c:ptCount val="1"/>
                <c:pt idx="0">
                  <c:v>Sel.calls</c:v>
                </c:pt>
              </c:strCache>
            </c:strRef>
          </c:tx>
          <c:spPr>
            <a:gradFill flip="none" rotWithShape="1">
              <a:gsLst>
                <a:gs pos="0">
                  <a:schemeClr val="accent5">
                    <a:lumMod val="75000"/>
                  </a:schemeClr>
                </a:gs>
                <a:gs pos="100000">
                  <a:schemeClr val="accent5">
                    <a:lumMod val="75000"/>
                    <a:alpha val="54000"/>
                  </a:schemeClr>
                </a:gs>
              </a:gsLst>
              <a:lin ang="10800000" scaled="1"/>
              <a:tileRect/>
            </a:gradFill>
            <a:ln>
              <a:noFill/>
            </a:ln>
            <a:effectLst/>
          </c:spPr>
          <c:invertIfNegative val="0"/>
          <c:val>
            <c:numRef>
              <c:f>pivots!$I$52:$I$56</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839F-4F85-8DE3-334326ED3A11}"/>
            </c:ext>
          </c:extLst>
        </c:ser>
        <c:dLbls>
          <c:showLegendKey val="0"/>
          <c:showVal val="0"/>
          <c:showCatName val="0"/>
          <c:showSerName val="0"/>
          <c:showPercent val="0"/>
          <c:showBubbleSize val="0"/>
        </c:dLbls>
        <c:gapWidth val="25"/>
        <c:overlap val="100"/>
        <c:axId val="460330191"/>
        <c:axId val="460315791"/>
      </c:barChart>
      <c:catAx>
        <c:axId val="46033019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15791"/>
        <c:crosses val="autoZero"/>
        <c:auto val="1"/>
        <c:lblAlgn val="ctr"/>
        <c:lblOffset val="100"/>
        <c:noMultiLvlLbl val="0"/>
      </c:catAx>
      <c:valAx>
        <c:axId val="460315791"/>
        <c:scaling>
          <c:orientation val="minMax"/>
          <c:min val="0"/>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6033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pivots!$F$52:$F$56</c:f>
              <c:strCache>
                <c:ptCount val="5"/>
                <c:pt idx="0">
                  <c:v>R01</c:v>
                </c:pt>
                <c:pt idx="1">
                  <c:v>R02</c:v>
                </c:pt>
                <c:pt idx="2">
                  <c:v>R03</c:v>
                </c:pt>
                <c:pt idx="3">
                  <c:v>R04</c:v>
                </c:pt>
                <c:pt idx="4">
                  <c:v>R05</c:v>
                </c:pt>
              </c:strCache>
            </c:strRef>
          </c:cat>
          <c:val>
            <c:numRef>
              <c:f>pivots!$H$52:$H$56</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EDD-4CEA-B503-D04DF5C4A2F7}"/>
            </c:ext>
          </c:extLst>
        </c:ser>
        <c:ser>
          <c:idx val="1"/>
          <c:order val="1"/>
          <c:tx>
            <c:strRef>
              <c:f>pivots!$J$51</c:f>
              <c:strCache>
                <c:ptCount val="1"/>
                <c:pt idx="0">
                  <c:v>Sel.amount</c:v>
                </c:pt>
              </c:strCache>
            </c:strRef>
          </c:tx>
          <c:spPr>
            <a:gradFill flip="none" rotWithShape="1">
              <a:gsLst>
                <a:gs pos="0">
                  <a:schemeClr val="accent6">
                    <a:lumMod val="75000"/>
                  </a:schemeClr>
                </a:gs>
                <a:gs pos="100000">
                  <a:schemeClr val="accent6">
                    <a:lumMod val="75000"/>
                    <a:alpha val="61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pivots!$J$52:$J$56</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BEDD-4CEA-B503-D04DF5C4A2F7}"/>
            </c:ext>
          </c:extLst>
        </c:ser>
        <c:dLbls>
          <c:dLblPos val="outEnd"/>
          <c:showLegendKey val="0"/>
          <c:showVal val="1"/>
          <c:showCatName val="0"/>
          <c:showSerName val="0"/>
          <c:showPercent val="0"/>
          <c:showBubbleSize val="0"/>
        </c:dLbls>
        <c:gapWidth val="25"/>
        <c:overlap val="100"/>
        <c:axId val="460330191"/>
        <c:axId val="460315791"/>
      </c:barChart>
      <c:catAx>
        <c:axId val="46033019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15791"/>
        <c:crosses val="autoZero"/>
        <c:auto val="1"/>
        <c:lblAlgn val="ctr"/>
        <c:lblOffset val="100"/>
        <c:noMultiLvlLbl val="0"/>
      </c:catAx>
      <c:valAx>
        <c:axId val="460315791"/>
        <c:scaling>
          <c:orientation val="minMax"/>
        </c:scaling>
        <c:delete val="1"/>
        <c:axPos val="t"/>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46033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[excel-portfolio-project-Call-Centre-Analysis.xlsx]pivots!PivotTable3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pivots!$B$77:$B$78</c:f>
              <c:strCache>
                <c:ptCount val="1"/>
                <c:pt idx="0">
                  <c:v>Female</c:v>
                </c:pt>
              </c:strCache>
            </c:strRef>
          </c:tx>
          <c:spPr>
            <a:solidFill>
              <a:schemeClr val="accent1"/>
            </a:solidFill>
            <a:ln>
              <a:noFill/>
            </a:ln>
            <a:effectLst/>
          </c:spPr>
          <c:invertIfNegative val="0"/>
          <c:cat>
            <c:strRef>
              <c:f>pivots!$A$79:$A$82</c:f>
              <c:strCache>
                <c:ptCount val="3"/>
                <c:pt idx="0">
                  <c:v>Cincinnati</c:v>
                </c:pt>
                <c:pt idx="1">
                  <c:v>Cleveland</c:v>
                </c:pt>
                <c:pt idx="2">
                  <c:v>Columbus</c:v>
                </c:pt>
              </c:strCache>
            </c:strRef>
          </c:cat>
          <c:val>
            <c:numRef>
              <c:f>pivots!$B$79:$B$82</c:f>
              <c:numCache>
                <c:formatCode>#,##0</c:formatCode>
                <c:ptCount val="3"/>
                <c:pt idx="0">
                  <c:v>144</c:v>
                </c:pt>
                <c:pt idx="1">
                  <c:v>326</c:v>
                </c:pt>
                <c:pt idx="2">
                  <c:v>129</c:v>
                </c:pt>
              </c:numCache>
            </c:numRef>
          </c:val>
          <c:extLst>
            <c:ext xmlns:c16="http://schemas.microsoft.com/office/drawing/2014/chart" uri="{C3380CC4-5D6E-409C-BE32-E72D297353CC}">
              <c16:uniqueId val="{00000000-FDE9-4038-B251-B4AC76DFAE56}"/>
            </c:ext>
          </c:extLst>
        </c:ser>
        <c:ser>
          <c:idx val="1"/>
          <c:order val="1"/>
          <c:tx>
            <c:strRef>
              <c:f>pivots!$C$77:$C$78</c:f>
              <c:strCache>
                <c:ptCount val="1"/>
                <c:pt idx="0">
                  <c:v>Male</c:v>
                </c:pt>
              </c:strCache>
            </c:strRef>
          </c:tx>
          <c:spPr>
            <a:solidFill>
              <a:schemeClr val="accent2"/>
            </a:solidFill>
            <a:ln>
              <a:noFill/>
            </a:ln>
            <a:effectLst/>
          </c:spPr>
          <c:invertIfNegative val="0"/>
          <c:cat>
            <c:strRef>
              <c:f>pivots!$A$79:$A$82</c:f>
              <c:strCache>
                <c:ptCount val="3"/>
                <c:pt idx="0">
                  <c:v>Cincinnati</c:v>
                </c:pt>
                <c:pt idx="1">
                  <c:v>Cleveland</c:v>
                </c:pt>
                <c:pt idx="2">
                  <c:v>Columbus</c:v>
                </c:pt>
              </c:strCache>
            </c:strRef>
          </c:cat>
          <c:val>
            <c:numRef>
              <c:f>pivots!$C$79:$C$82</c:f>
              <c:numCache>
                <c:formatCode>#,##0</c:formatCode>
                <c:ptCount val="3"/>
                <c:pt idx="0">
                  <c:v>132</c:v>
                </c:pt>
                <c:pt idx="1">
                  <c:v>63</c:v>
                </c:pt>
                <c:pt idx="2">
                  <c:v>206</c:v>
                </c:pt>
              </c:numCache>
            </c:numRef>
          </c:val>
          <c:extLst>
            <c:ext xmlns:c16="http://schemas.microsoft.com/office/drawing/2014/chart" uri="{C3380CC4-5D6E-409C-BE32-E72D297353CC}">
              <c16:uniqueId val="{00000001-FDE9-4038-B251-B4AC76DFAE56}"/>
            </c:ext>
          </c:extLst>
        </c:ser>
        <c:dLbls>
          <c:showLegendKey val="0"/>
          <c:showVal val="0"/>
          <c:showCatName val="0"/>
          <c:showSerName val="0"/>
          <c:showPercent val="0"/>
          <c:showBubbleSize val="0"/>
        </c:dLbls>
        <c:gapWidth val="150"/>
        <c:overlap val="100"/>
        <c:axId val="614102527"/>
        <c:axId val="614110207"/>
      </c:barChart>
      <c:catAx>
        <c:axId val="61410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110207"/>
        <c:crosses val="autoZero"/>
        <c:auto val="1"/>
        <c:lblAlgn val="ctr"/>
        <c:lblOffset val="100"/>
        <c:noMultiLvlLbl val="0"/>
      </c:catAx>
      <c:valAx>
        <c:axId val="614110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10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chart" Target="../charts/chart3.xml"/><Relationship Id="rId3" Type="http://schemas.openxmlformats.org/officeDocument/2006/relationships/image" Target="../media/image7.svg"/><Relationship Id="rId7" Type="http://schemas.openxmlformats.org/officeDocument/2006/relationships/image" Target="../media/image11.svg"/><Relationship Id="rId12" Type="http://schemas.openxmlformats.org/officeDocument/2006/relationships/chart" Target="../charts/chart2.xml"/><Relationship Id="rId2" Type="http://schemas.openxmlformats.org/officeDocument/2006/relationships/image" Target="../media/image6.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10.png"/><Relationship Id="rId11" Type="http://schemas.openxmlformats.org/officeDocument/2006/relationships/image" Target="../media/image15.svg"/><Relationship Id="rId5" Type="http://schemas.openxmlformats.org/officeDocument/2006/relationships/image" Target="../media/image9.svg"/><Relationship Id="rId15" Type="http://schemas.openxmlformats.org/officeDocument/2006/relationships/chart" Target="../charts/chart5.xml"/><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10</xdr:col>
      <xdr:colOff>328775</xdr:colOff>
      <xdr:row>21</xdr:row>
      <xdr:rowOff>41167</xdr:rowOff>
    </xdr:from>
    <xdr:to>
      <xdr:col>12</xdr:col>
      <xdr:colOff>486228</xdr:colOff>
      <xdr:row>31</xdr:row>
      <xdr:rowOff>77854</xdr:rowOff>
    </xdr:to>
    <mc:AlternateContent xmlns:mc="http://schemas.openxmlformats.org/markup-compatibility/2006" xmlns:a14="http://schemas.microsoft.com/office/drawing/2010/main">
      <mc:Choice Requires="a14">
        <xdr:graphicFrame macro="">
          <xdr:nvGraphicFramePr>
            <xdr:cNvPr id="47" name="Representative">
              <a:extLst>
                <a:ext uri="{FF2B5EF4-FFF2-40B4-BE49-F238E27FC236}">
                  <a16:creationId xmlns:a16="http://schemas.microsoft.com/office/drawing/2014/main" id="{6D3C876A-1A65-471C-96C0-AA928308FEA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427950" y="3398730"/>
              <a:ext cx="1344903" cy="1862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407538</xdr:colOff>
      <xdr:row>21</xdr:row>
      <xdr:rowOff>36286</xdr:rowOff>
    </xdr:from>
    <xdr:to>
      <xdr:col>10</xdr:col>
      <xdr:colOff>322238</xdr:colOff>
      <xdr:row>40</xdr:row>
      <xdr:rowOff>0</xdr:rowOff>
    </xdr:to>
    <xdr:sp macro="" textlink="">
      <xdr:nvSpPr>
        <xdr:cNvPr id="9" name="Rectangle 8">
          <a:extLst>
            <a:ext uri="{FF2B5EF4-FFF2-40B4-BE49-F238E27FC236}">
              <a16:creationId xmlns:a16="http://schemas.microsoft.com/office/drawing/2014/main" id="{7FC1AB93-E9A7-122E-947E-04EF7F65DE99}"/>
            </a:ext>
          </a:extLst>
        </xdr:cNvPr>
        <xdr:cNvSpPr/>
      </xdr:nvSpPr>
      <xdr:spPr>
        <a:xfrm>
          <a:off x="2230895" y="3846286"/>
          <a:ext cx="4169200" cy="3410857"/>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solidFill>
          </a:endParaRPr>
        </a:p>
      </xdr:txBody>
    </xdr:sp>
    <xdr:clientData/>
  </xdr:twoCellAnchor>
  <xdr:twoCellAnchor>
    <xdr:from>
      <xdr:col>10</xdr:col>
      <xdr:colOff>258175</xdr:colOff>
      <xdr:row>7</xdr:row>
      <xdr:rowOff>117231</xdr:rowOff>
    </xdr:from>
    <xdr:to>
      <xdr:col>12</xdr:col>
      <xdr:colOff>504593</xdr:colOff>
      <xdr:row>19</xdr:row>
      <xdr:rowOff>18144</xdr:rowOff>
    </xdr:to>
    <xdr:graphicFrame macro="">
      <xdr:nvGraphicFramePr>
        <xdr:cNvPr id="49" name="Chart 48">
          <a:extLst>
            <a:ext uri="{FF2B5EF4-FFF2-40B4-BE49-F238E27FC236}">
              <a16:creationId xmlns:a16="http://schemas.microsoft.com/office/drawing/2014/main" id="{7F461032-6CA0-44AD-9D11-18556F097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599723</xdr:colOff>
      <xdr:row>7</xdr:row>
      <xdr:rowOff>1</xdr:rowOff>
    </xdr:from>
    <xdr:to>
      <xdr:col>3</xdr:col>
      <xdr:colOff>148168</xdr:colOff>
      <xdr:row>11</xdr:row>
      <xdr:rowOff>180623</xdr:rowOff>
    </xdr:to>
    <xdr:sp macro="" textlink="pivots!A4">
      <xdr:nvSpPr>
        <xdr:cNvPr id="2" name="Rectangle 1">
          <a:extLst>
            <a:ext uri="{FF2B5EF4-FFF2-40B4-BE49-F238E27FC236}">
              <a16:creationId xmlns:a16="http://schemas.microsoft.com/office/drawing/2014/main" id="{3F3154B8-0EE5-3F76-0236-3B27557592C9}"/>
            </a:ext>
          </a:extLst>
        </xdr:cNvPr>
        <xdr:cNvSpPr/>
      </xdr:nvSpPr>
      <xdr:spPr>
        <a:xfrm>
          <a:off x="599723" y="1284112"/>
          <a:ext cx="1368778" cy="914400"/>
        </a:xfrm>
        <a:prstGeom prst="rect">
          <a:avLst/>
        </a:prstGeom>
        <a:solidFill>
          <a:schemeClr val="accent6"/>
        </a:solidFill>
        <a:ln>
          <a:noFill/>
        </a:ln>
        <a:effectLst>
          <a:glow rad="25400">
            <a:schemeClr val="accent1">
              <a:alpha val="40000"/>
            </a:schemeClr>
          </a:glow>
          <a:outerShdw blurRad="279400" dist="139700" dir="21540000" algn="l" rotWithShape="0">
            <a:prstClr val="black">
              <a:alpha val="58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330573-A718-4BFE-BC79-A0A7432F76AF}" type="TxLink">
            <a:rPr lang="en-US" sz="2400" b="0" i="0" u="none" strike="noStrike">
              <a:solidFill>
                <a:schemeClr val="bg1"/>
              </a:solidFill>
              <a:latin typeface="Aptos Narrow"/>
            </a:rPr>
            <a:pPr algn="ctr"/>
            <a:t>1,000</a:t>
          </a:fld>
          <a:endParaRPr lang="en-IN" sz="2400">
            <a:solidFill>
              <a:schemeClr val="bg1"/>
            </a:solidFill>
          </a:endParaRPr>
        </a:p>
      </xdr:txBody>
    </xdr:sp>
    <xdr:clientData/>
  </xdr:twoCellAnchor>
  <xdr:twoCellAnchor>
    <xdr:from>
      <xdr:col>1</xdr:col>
      <xdr:colOff>253999</xdr:colOff>
      <xdr:row>7</xdr:row>
      <xdr:rowOff>91723</xdr:rowOff>
    </xdr:from>
    <xdr:to>
      <xdr:col>2</xdr:col>
      <xdr:colOff>479777</xdr:colOff>
      <xdr:row>8</xdr:row>
      <xdr:rowOff>141110</xdr:rowOff>
    </xdr:to>
    <xdr:sp macro="" textlink="">
      <xdr:nvSpPr>
        <xdr:cNvPr id="3" name="TextBox 2">
          <a:extLst>
            <a:ext uri="{FF2B5EF4-FFF2-40B4-BE49-F238E27FC236}">
              <a16:creationId xmlns:a16="http://schemas.microsoft.com/office/drawing/2014/main" id="{AD0C0ADB-7C3D-EA33-3EB6-21FA78609DDD}"/>
            </a:ext>
          </a:extLst>
        </xdr:cNvPr>
        <xdr:cNvSpPr txBox="1"/>
      </xdr:nvSpPr>
      <xdr:spPr>
        <a:xfrm>
          <a:off x="860777" y="1375834"/>
          <a:ext cx="832556" cy="232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6">
                  <a:lumMod val="20000"/>
                  <a:lumOff val="80000"/>
                </a:schemeClr>
              </a:solidFill>
            </a:rPr>
            <a:t>Calls</a:t>
          </a:r>
        </a:p>
        <a:p>
          <a:pPr algn="ctr"/>
          <a:endParaRPr lang="en-IN" sz="1100">
            <a:solidFill>
              <a:schemeClr val="accent6">
                <a:lumMod val="20000"/>
                <a:lumOff val="80000"/>
              </a:schemeClr>
            </a:solidFill>
          </a:endParaRPr>
        </a:p>
      </xdr:txBody>
    </xdr:sp>
    <xdr:clientData/>
  </xdr:twoCellAnchor>
  <xdr:twoCellAnchor editAs="oneCell">
    <xdr:from>
      <xdr:col>1</xdr:col>
      <xdr:colOff>40600</xdr:colOff>
      <xdr:row>7</xdr:row>
      <xdr:rowOff>55950</xdr:rowOff>
    </xdr:from>
    <xdr:to>
      <xdr:col>1</xdr:col>
      <xdr:colOff>264326</xdr:colOff>
      <xdr:row>8</xdr:row>
      <xdr:rowOff>87184</xdr:rowOff>
    </xdr:to>
    <xdr:pic>
      <xdr:nvPicPr>
        <xdr:cNvPr id="4" name="Graphic 3" descr="Receiver with solid fill">
          <a:extLst>
            <a:ext uri="{FF2B5EF4-FFF2-40B4-BE49-F238E27FC236}">
              <a16:creationId xmlns:a16="http://schemas.microsoft.com/office/drawing/2014/main" id="{2355909F-9DE1-44BD-B3E8-711B4044682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774998">
          <a:off x="647378" y="1340061"/>
          <a:ext cx="223726" cy="214679"/>
        </a:xfrm>
        <a:prstGeom prst="rect">
          <a:avLst/>
        </a:prstGeom>
      </xdr:spPr>
    </xdr:pic>
    <xdr:clientData/>
  </xdr:twoCellAnchor>
  <xdr:twoCellAnchor>
    <xdr:from>
      <xdr:col>1</xdr:col>
      <xdr:colOff>119944</xdr:colOff>
      <xdr:row>10</xdr:row>
      <xdr:rowOff>70556</xdr:rowOff>
    </xdr:from>
    <xdr:to>
      <xdr:col>2</xdr:col>
      <xdr:colOff>592666</xdr:colOff>
      <xdr:row>11</xdr:row>
      <xdr:rowOff>119945</xdr:rowOff>
    </xdr:to>
    <xdr:sp macro="" textlink="pivots!A9">
      <xdr:nvSpPr>
        <xdr:cNvPr id="21" name="TextBox 20">
          <a:extLst>
            <a:ext uri="{FF2B5EF4-FFF2-40B4-BE49-F238E27FC236}">
              <a16:creationId xmlns:a16="http://schemas.microsoft.com/office/drawing/2014/main" id="{ACA98903-A0CE-CB88-C642-F2307A83F5C6}"/>
            </a:ext>
          </a:extLst>
        </xdr:cNvPr>
        <xdr:cNvSpPr txBox="1"/>
      </xdr:nvSpPr>
      <xdr:spPr>
        <a:xfrm>
          <a:off x="726722" y="1905000"/>
          <a:ext cx="1079500" cy="23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53AC59-141E-4BAF-B791-D228FA1873E2}" type="TxLink">
            <a:rPr lang="en-US" sz="1100" b="0" i="0" u="none" strike="noStrike">
              <a:solidFill>
                <a:schemeClr val="accent6">
                  <a:lumMod val="20000"/>
                  <a:lumOff val="80000"/>
                </a:schemeClr>
              </a:solidFill>
              <a:latin typeface="Aptos Narrow"/>
            </a:rPr>
            <a:pPr algn="ctr"/>
            <a:t>207</a:t>
          </a:fld>
          <a:endParaRPr lang="en-IN" sz="1100">
            <a:solidFill>
              <a:schemeClr val="accent6">
                <a:lumMod val="20000"/>
                <a:lumOff val="80000"/>
              </a:schemeClr>
            </a:solidFill>
          </a:endParaRPr>
        </a:p>
      </xdr:txBody>
    </xdr:sp>
    <xdr:clientData/>
  </xdr:twoCellAnchor>
  <xdr:twoCellAnchor>
    <xdr:from>
      <xdr:col>1</xdr:col>
      <xdr:colOff>0</xdr:colOff>
      <xdr:row>14</xdr:row>
      <xdr:rowOff>0</xdr:rowOff>
    </xdr:from>
    <xdr:to>
      <xdr:col>3</xdr:col>
      <xdr:colOff>155223</xdr:colOff>
      <xdr:row>18</xdr:row>
      <xdr:rowOff>180622</xdr:rowOff>
    </xdr:to>
    <xdr:sp macro="" textlink="pivots!B4">
      <xdr:nvSpPr>
        <xdr:cNvPr id="22" name="Rectangle 21">
          <a:extLst>
            <a:ext uri="{FF2B5EF4-FFF2-40B4-BE49-F238E27FC236}">
              <a16:creationId xmlns:a16="http://schemas.microsoft.com/office/drawing/2014/main" id="{E98DD56E-3A61-41C3-8EF6-AC8D814A1886}"/>
            </a:ext>
          </a:extLst>
        </xdr:cNvPr>
        <xdr:cNvSpPr/>
      </xdr:nvSpPr>
      <xdr:spPr>
        <a:xfrm>
          <a:off x="606778" y="2568222"/>
          <a:ext cx="1368778" cy="914400"/>
        </a:xfrm>
        <a:prstGeom prst="rect">
          <a:avLst/>
        </a:prstGeom>
        <a:solidFill>
          <a:schemeClr val="accent6"/>
        </a:solidFill>
        <a:ln>
          <a:noFill/>
        </a:ln>
        <a:effectLst>
          <a:glow rad="25400">
            <a:schemeClr val="accent1">
              <a:alpha val="40000"/>
            </a:schemeClr>
          </a:glow>
          <a:outerShdw blurRad="279400" dist="139700" dir="21540000" algn="l" rotWithShape="0">
            <a:prstClr val="black">
              <a:alpha val="58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5F52CCD-CE9C-4CAD-81EF-92E582358618}" type="TxLink">
            <a:rPr lang="en-US" sz="1600" b="0" i="0" u="none" strike="noStrike">
              <a:solidFill>
                <a:schemeClr val="bg1"/>
              </a:solidFill>
              <a:latin typeface="Aptos Narrow"/>
              <a:ea typeface="+mn-ea"/>
              <a:cs typeface="+mn-cs"/>
            </a:rPr>
            <a:pPr marL="0" indent="0" algn="ctr"/>
            <a:t>$96,623</a:t>
          </a:fld>
          <a:endParaRPr lang="en-IN" sz="1600" b="0" i="0" u="none" strike="noStrike">
            <a:solidFill>
              <a:schemeClr val="bg1"/>
            </a:solidFill>
            <a:latin typeface="Aptos Narrow"/>
            <a:ea typeface="+mn-ea"/>
            <a:cs typeface="+mn-cs"/>
          </a:endParaRPr>
        </a:p>
      </xdr:txBody>
    </xdr:sp>
    <xdr:clientData/>
  </xdr:twoCellAnchor>
  <xdr:twoCellAnchor>
    <xdr:from>
      <xdr:col>1</xdr:col>
      <xdr:colOff>246943</xdr:colOff>
      <xdr:row>14</xdr:row>
      <xdr:rowOff>84667</xdr:rowOff>
    </xdr:from>
    <xdr:to>
      <xdr:col>2</xdr:col>
      <xdr:colOff>472721</xdr:colOff>
      <xdr:row>15</xdr:row>
      <xdr:rowOff>134054</xdr:rowOff>
    </xdr:to>
    <xdr:sp macro="" textlink="">
      <xdr:nvSpPr>
        <xdr:cNvPr id="23" name="TextBox 22">
          <a:extLst>
            <a:ext uri="{FF2B5EF4-FFF2-40B4-BE49-F238E27FC236}">
              <a16:creationId xmlns:a16="http://schemas.microsoft.com/office/drawing/2014/main" id="{4A3ED5C8-E4BD-48E7-9E4D-0B1FC3D45D70}"/>
            </a:ext>
          </a:extLst>
        </xdr:cNvPr>
        <xdr:cNvSpPr txBox="1"/>
      </xdr:nvSpPr>
      <xdr:spPr>
        <a:xfrm>
          <a:off x="853721" y="2652889"/>
          <a:ext cx="832556" cy="232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6">
                  <a:lumMod val="20000"/>
                  <a:lumOff val="80000"/>
                </a:schemeClr>
              </a:solidFill>
            </a:rPr>
            <a:t>Amount</a:t>
          </a:r>
          <a:r>
            <a:rPr lang="en-IN" sz="1100" baseline="0">
              <a:solidFill>
                <a:schemeClr val="accent6">
                  <a:lumMod val="20000"/>
                  <a:lumOff val="80000"/>
                </a:schemeClr>
              </a:solidFill>
            </a:rPr>
            <a:t> </a:t>
          </a:r>
          <a:endParaRPr lang="en-IN" sz="1100">
            <a:solidFill>
              <a:schemeClr val="accent6">
                <a:lumMod val="20000"/>
                <a:lumOff val="80000"/>
              </a:schemeClr>
            </a:solidFill>
          </a:endParaRPr>
        </a:p>
        <a:p>
          <a:pPr algn="ctr"/>
          <a:endParaRPr lang="en-IN" sz="1100">
            <a:solidFill>
              <a:schemeClr val="accent6">
                <a:lumMod val="20000"/>
                <a:lumOff val="80000"/>
              </a:schemeClr>
            </a:solidFill>
          </a:endParaRPr>
        </a:p>
      </xdr:txBody>
    </xdr:sp>
    <xdr:clientData/>
  </xdr:twoCellAnchor>
  <xdr:twoCellAnchor>
    <xdr:from>
      <xdr:col>1</xdr:col>
      <xdr:colOff>126999</xdr:colOff>
      <xdr:row>17</xdr:row>
      <xdr:rowOff>49387</xdr:rowOff>
    </xdr:from>
    <xdr:to>
      <xdr:col>2</xdr:col>
      <xdr:colOff>599721</xdr:colOff>
      <xdr:row>18</xdr:row>
      <xdr:rowOff>98777</xdr:rowOff>
    </xdr:to>
    <xdr:sp macro="" textlink="pivots!B9">
      <xdr:nvSpPr>
        <xdr:cNvPr id="25" name="TextBox 24">
          <a:extLst>
            <a:ext uri="{FF2B5EF4-FFF2-40B4-BE49-F238E27FC236}">
              <a16:creationId xmlns:a16="http://schemas.microsoft.com/office/drawing/2014/main" id="{0351F81A-4929-4A20-A66B-4087D7B072AF}"/>
            </a:ext>
          </a:extLst>
        </xdr:cNvPr>
        <xdr:cNvSpPr txBox="1"/>
      </xdr:nvSpPr>
      <xdr:spPr>
        <a:xfrm>
          <a:off x="733777" y="3167943"/>
          <a:ext cx="1079500" cy="23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72060E-1D68-48CF-B261-4E88A4D348B2}" type="TxLink">
            <a:rPr lang="en-US" sz="1100" b="0" i="0" u="none" strike="noStrike">
              <a:solidFill>
                <a:schemeClr val="accent6">
                  <a:lumMod val="20000"/>
                  <a:lumOff val="80000"/>
                </a:schemeClr>
              </a:solidFill>
              <a:latin typeface="Aptos Narrow"/>
              <a:ea typeface="+mn-ea"/>
              <a:cs typeface="+mn-cs"/>
            </a:rPr>
            <a:pPr marL="0" indent="0" algn="ctr"/>
            <a:t>$20,872</a:t>
          </a:fld>
          <a:endParaRPr lang="en-IN" sz="1100" b="0" i="0" u="none" strike="noStrike">
            <a:solidFill>
              <a:schemeClr val="accent6">
                <a:lumMod val="20000"/>
                <a:lumOff val="80000"/>
              </a:schemeClr>
            </a:solidFill>
            <a:latin typeface="Aptos Narrow"/>
            <a:ea typeface="+mn-ea"/>
            <a:cs typeface="+mn-cs"/>
          </a:endParaRPr>
        </a:p>
      </xdr:txBody>
    </xdr:sp>
    <xdr:clientData/>
  </xdr:twoCellAnchor>
  <xdr:twoCellAnchor>
    <xdr:from>
      <xdr:col>1</xdr:col>
      <xdr:colOff>0</xdr:colOff>
      <xdr:row>21</xdr:row>
      <xdr:rowOff>0</xdr:rowOff>
    </xdr:from>
    <xdr:to>
      <xdr:col>3</xdr:col>
      <xdr:colOff>155223</xdr:colOff>
      <xdr:row>25</xdr:row>
      <xdr:rowOff>180622</xdr:rowOff>
    </xdr:to>
    <xdr:sp macro="" textlink="pivots!C4">
      <xdr:nvSpPr>
        <xdr:cNvPr id="26" name="Rectangle 25">
          <a:extLst>
            <a:ext uri="{FF2B5EF4-FFF2-40B4-BE49-F238E27FC236}">
              <a16:creationId xmlns:a16="http://schemas.microsoft.com/office/drawing/2014/main" id="{0A732680-63E1-4B1A-8DCC-073146365CF2}"/>
            </a:ext>
          </a:extLst>
        </xdr:cNvPr>
        <xdr:cNvSpPr/>
      </xdr:nvSpPr>
      <xdr:spPr>
        <a:xfrm>
          <a:off x="606778" y="3852333"/>
          <a:ext cx="1368778" cy="914400"/>
        </a:xfrm>
        <a:prstGeom prst="rect">
          <a:avLst/>
        </a:prstGeom>
        <a:solidFill>
          <a:schemeClr val="accent6"/>
        </a:solidFill>
        <a:ln>
          <a:noFill/>
        </a:ln>
        <a:effectLst>
          <a:glow rad="25400">
            <a:schemeClr val="accent1">
              <a:alpha val="40000"/>
            </a:schemeClr>
          </a:glow>
          <a:outerShdw blurRad="279400" dist="139700" dir="21540000" algn="l" rotWithShape="0">
            <a:prstClr val="black">
              <a:alpha val="58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6DB2B16-A9A2-4FD3-A7A9-C16D0573C322}" type="TxLink">
            <a:rPr lang="en-US" sz="1600" b="0" i="0" u="none" strike="noStrike">
              <a:solidFill>
                <a:schemeClr val="bg1"/>
              </a:solidFill>
              <a:latin typeface="Aptos Narrow"/>
              <a:ea typeface="+mn-ea"/>
              <a:cs typeface="+mn-cs"/>
            </a:rPr>
            <a:pPr marL="0" indent="0" algn="ctr"/>
            <a:t>89,850</a:t>
          </a:fld>
          <a:endParaRPr lang="en-IN" sz="1600" b="0" i="0" u="none" strike="noStrike">
            <a:solidFill>
              <a:schemeClr val="bg1"/>
            </a:solidFill>
            <a:latin typeface="Aptos Narrow"/>
            <a:ea typeface="+mn-ea"/>
            <a:cs typeface="+mn-cs"/>
          </a:endParaRPr>
        </a:p>
      </xdr:txBody>
    </xdr:sp>
    <xdr:clientData/>
  </xdr:twoCellAnchor>
  <xdr:twoCellAnchor>
    <xdr:from>
      <xdr:col>1</xdr:col>
      <xdr:colOff>246943</xdr:colOff>
      <xdr:row>21</xdr:row>
      <xdr:rowOff>84667</xdr:rowOff>
    </xdr:from>
    <xdr:to>
      <xdr:col>2</xdr:col>
      <xdr:colOff>472721</xdr:colOff>
      <xdr:row>22</xdr:row>
      <xdr:rowOff>134054</xdr:rowOff>
    </xdr:to>
    <xdr:sp macro="" textlink="">
      <xdr:nvSpPr>
        <xdr:cNvPr id="27" name="TextBox 26">
          <a:extLst>
            <a:ext uri="{FF2B5EF4-FFF2-40B4-BE49-F238E27FC236}">
              <a16:creationId xmlns:a16="http://schemas.microsoft.com/office/drawing/2014/main" id="{C0FBF9C2-78D7-4CCD-8F5D-8409B19E873C}"/>
            </a:ext>
          </a:extLst>
        </xdr:cNvPr>
        <xdr:cNvSpPr txBox="1"/>
      </xdr:nvSpPr>
      <xdr:spPr>
        <a:xfrm>
          <a:off x="853721" y="3937000"/>
          <a:ext cx="832556" cy="232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6">
                  <a:lumMod val="20000"/>
                  <a:lumOff val="80000"/>
                </a:schemeClr>
              </a:solidFill>
            </a:rPr>
            <a:t>Duration</a:t>
          </a:r>
        </a:p>
        <a:p>
          <a:pPr algn="ctr"/>
          <a:endParaRPr lang="en-IN" sz="1100">
            <a:solidFill>
              <a:schemeClr val="accent6">
                <a:lumMod val="20000"/>
                <a:lumOff val="80000"/>
              </a:schemeClr>
            </a:solidFill>
          </a:endParaRPr>
        </a:p>
        <a:p>
          <a:pPr algn="ctr"/>
          <a:endParaRPr lang="en-IN" sz="1100">
            <a:solidFill>
              <a:schemeClr val="accent6">
                <a:lumMod val="20000"/>
                <a:lumOff val="80000"/>
              </a:schemeClr>
            </a:solidFill>
          </a:endParaRPr>
        </a:p>
        <a:p>
          <a:pPr algn="ctr"/>
          <a:endParaRPr lang="en-IN" sz="1100">
            <a:solidFill>
              <a:schemeClr val="accent6">
                <a:lumMod val="20000"/>
                <a:lumOff val="80000"/>
              </a:schemeClr>
            </a:solidFill>
          </a:endParaRPr>
        </a:p>
      </xdr:txBody>
    </xdr:sp>
    <xdr:clientData/>
  </xdr:twoCellAnchor>
  <xdr:twoCellAnchor>
    <xdr:from>
      <xdr:col>1</xdr:col>
      <xdr:colOff>126999</xdr:colOff>
      <xdr:row>24</xdr:row>
      <xdr:rowOff>49387</xdr:rowOff>
    </xdr:from>
    <xdr:to>
      <xdr:col>2</xdr:col>
      <xdr:colOff>599721</xdr:colOff>
      <xdr:row>25</xdr:row>
      <xdr:rowOff>98777</xdr:rowOff>
    </xdr:to>
    <xdr:sp macro="" textlink="pivots!C9">
      <xdr:nvSpPr>
        <xdr:cNvPr id="29" name="TextBox 28">
          <a:extLst>
            <a:ext uri="{FF2B5EF4-FFF2-40B4-BE49-F238E27FC236}">
              <a16:creationId xmlns:a16="http://schemas.microsoft.com/office/drawing/2014/main" id="{B3D6FC53-C278-459A-962B-BD138F44FF34}"/>
            </a:ext>
          </a:extLst>
        </xdr:cNvPr>
        <xdr:cNvSpPr txBox="1"/>
      </xdr:nvSpPr>
      <xdr:spPr>
        <a:xfrm>
          <a:off x="733777" y="4452054"/>
          <a:ext cx="1079500" cy="23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90E75F7-3667-4524-9426-3A3A36D9B924}" type="TxLink">
            <a:rPr lang="en-US" sz="1100" b="0" i="0" u="none" strike="noStrike">
              <a:solidFill>
                <a:schemeClr val="accent6">
                  <a:lumMod val="20000"/>
                  <a:lumOff val="80000"/>
                </a:schemeClr>
              </a:solidFill>
              <a:latin typeface="Aptos Narrow"/>
              <a:ea typeface="+mn-ea"/>
              <a:cs typeface="+mn-cs"/>
            </a:rPr>
            <a:pPr marL="0" indent="0" algn="ctr"/>
            <a:t>17,700</a:t>
          </a:fld>
          <a:endParaRPr lang="en-IN" sz="1100" b="0" i="0" u="none" strike="noStrike">
            <a:solidFill>
              <a:schemeClr val="accent6">
                <a:lumMod val="20000"/>
                <a:lumOff val="80000"/>
              </a:schemeClr>
            </a:solidFill>
            <a:latin typeface="Aptos Narrow"/>
            <a:ea typeface="+mn-ea"/>
            <a:cs typeface="+mn-cs"/>
          </a:endParaRPr>
        </a:p>
      </xdr:txBody>
    </xdr:sp>
    <xdr:clientData/>
  </xdr:twoCellAnchor>
  <xdr:twoCellAnchor>
    <xdr:from>
      <xdr:col>1</xdr:col>
      <xdr:colOff>0</xdr:colOff>
      <xdr:row>28</xdr:row>
      <xdr:rowOff>0</xdr:rowOff>
    </xdr:from>
    <xdr:to>
      <xdr:col>3</xdr:col>
      <xdr:colOff>155223</xdr:colOff>
      <xdr:row>32</xdr:row>
      <xdr:rowOff>180622</xdr:rowOff>
    </xdr:to>
    <xdr:sp macro="" textlink="pivots!D4">
      <xdr:nvSpPr>
        <xdr:cNvPr id="30" name="Rectangle 29">
          <a:extLst>
            <a:ext uri="{FF2B5EF4-FFF2-40B4-BE49-F238E27FC236}">
              <a16:creationId xmlns:a16="http://schemas.microsoft.com/office/drawing/2014/main" id="{FA94D63D-0E5F-401D-88C5-A1CB4DB4EED9}"/>
            </a:ext>
          </a:extLst>
        </xdr:cNvPr>
        <xdr:cNvSpPr/>
      </xdr:nvSpPr>
      <xdr:spPr>
        <a:xfrm>
          <a:off x="606778" y="5136444"/>
          <a:ext cx="1368778" cy="914400"/>
        </a:xfrm>
        <a:prstGeom prst="rect">
          <a:avLst/>
        </a:prstGeom>
        <a:solidFill>
          <a:schemeClr val="accent6"/>
        </a:solidFill>
        <a:ln>
          <a:noFill/>
        </a:ln>
        <a:effectLst>
          <a:glow rad="25400">
            <a:schemeClr val="accent1">
              <a:alpha val="40000"/>
            </a:schemeClr>
          </a:glow>
          <a:outerShdw blurRad="279400" dist="139700" dir="21540000" algn="l" rotWithShape="0">
            <a:prstClr val="black">
              <a:alpha val="58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EB6CFF7-BAC6-438D-9244-13DE21557DED}" type="TxLink">
            <a:rPr lang="en-US" sz="1600" b="0" i="0" u="none" strike="noStrike">
              <a:solidFill>
                <a:schemeClr val="bg1"/>
              </a:solidFill>
              <a:latin typeface="Aptos Narrow"/>
              <a:ea typeface="+mn-ea"/>
              <a:cs typeface="+mn-cs"/>
            </a:rPr>
            <a:pPr marL="0" indent="0" algn="ctr"/>
            <a:t>3.9</a:t>
          </a:fld>
          <a:endParaRPr lang="en-IN" sz="1600" b="0" i="0" u="none" strike="noStrike">
            <a:solidFill>
              <a:schemeClr val="bg1"/>
            </a:solidFill>
            <a:latin typeface="Aptos Narrow"/>
            <a:ea typeface="+mn-ea"/>
            <a:cs typeface="+mn-cs"/>
          </a:endParaRPr>
        </a:p>
      </xdr:txBody>
    </xdr:sp>
    <xdr:clientData/>
  </xdr:twoCellAnchor>
  <xdr:twoCellAnchor>
    <xdr:from>
      <xdr:col>1</xdr:col>
      <xdr:colOff>239887</xdr:colOff>
      <xdr:row>28</xdr:row>
      <xdr:rowOff>91722</xdr:rowOff>
    </xdr:from>
    <xdr:to>
      <xdr:col>2</xdr:col>
      <xdr:colOff>465665</xdr:colOff>
      <xdr:row>29</xdr:row>
      <xdr:rowOff>141109</xdr:rowOff>
    </xdr:to>
    <xdr:sp macro="" textlink="">
      <xdr:nvSpPr>
        <xdr:cNvPr id="31" name="TextBox 30">
          <a:extLst>
            <a:ext uri="{FF2B5EF4-FFF2-40B4-BE49-F238E27FC236}">
              <a16:creationId xmlns:a16="http://schemas.microsoft.com/office/drawing/2014/main" id="{0792280D-6457-4EE3-B171-1B99BAD559A3}"/>
            </a:ext>
          </a:extLst>
        </xdr:cNvPr>
        <xdr:cNvSpPr txBox="1"/>
      </xdr:nvSpPr>
      <xdr:spPr>
        <a:xfrm>
          <a:off x="846665" y="5228166"/>
          <a:ext cx="832556" cy="232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6">
                  <a:lumMod val="20000"/>
                  <a:lumOff val="80000"/>
                </a:schemeClr>
              </a:solidFill>
            </a:rPr>
            <a:t>Average</a:t>
          </a:r>
        </a:p>
      </xdr:txBody>
    </xdr:sp>
    <xdr:clientData/>
  </xdr:twoCellAnchor>
  <xdr:twoCellAnchor>
    <xdr:from>
      <xdr:col>1</xdr:col>
      <xdr:colOff>126999</xdr:colOff>
      <xdr:row>31</xdr:row>
      <xdr:rowOff>49387</xdr:rowOff>
    </xdr:from>
    <xdr:to>
      <xdr:col>2</xdr:col>
      <xdr:colOff>599721</xdr:colOff>
      <xdr:row>32</xdr:row>
      <xdr:rowOff>98777</xdr:rowOff>
    </xdr:to>
    <xdr:sp macro="" textlink="pivots!D9">
      <xdr:nvSpPr>
        <xdr:cNvPr id="33" name="TextBox 32">
          <a:extLst>
            <a:ext uri="{FF2B5EF4-FFF2-40B4-BE49-F238E27FC236}">
              <a16:creationId xmlns:a16="http://schemas.microsoft.com/office/drawing/2014/main" id="{2196EDFD-671B-4B98-BA99-9A9BC47029BB}"/>
            </a:ext>
          </a:extLst>
        </xdr:cNvPr>
        <xdr:cNvSpPr txBox="1"/>
      </xdr:nvSpPr>
      <xdr:spPr>
        <a:xfrm>
          <a:off x="733777" y="5736165"/>
          <a:ext cx="1079500" cy="23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D5D642-245A-4133-BF3E-88B8ECF8A3BD}" type="TxLink">
            <a:rPr lang="en-US" sz="1100" b="0" i="0" u="none" strike="noStrike">
              <a:solidFill>
                <a:schemeClr val="accent6">
                  <a:lumMod val="20000"/>
                  <a:lumOff val="80000"/>
                </a:schemeClr>
              </a:solidFill>
              <a:latin typeface="Aptos Narrow"/>
              <a:ea typeface="+mn-ea"/>
              <a:cs typeface="+mn-cs"/>
            </a:rPr>
            <a:pPr marL="0" indent="0" algn="ctr"/>
            <a:t>3.9</a:t>
          </a:fld>
          <a:endParaRPr lang="en-IN" sz="1100" b="0" i="0" u="none" strike="noStrike">
            <a:solidFill>
              <a:schemeClr val="accent6">
                <a:lumMod val="20000"/>
                <a:lumOff val="80000"/>
              </a:schemeClr>
            </a:solidFill>
            <a:latin typeface="Aptos Narrow"/>
            <a:ea typeface="+mn-ea"/>
            <a:cs typeface="+mn-cs"/>
          </a:endParaRPr>
        </a:p>
      </xdr:txBody>
    </xdr:sp>
    <xdr:clientData/>
  </xdr:twoCellAnchor>
  <xdr:twoCellAnchor>
    <xdr:from>
      <xdr:col>1</xdr:col>
      <xdr:colOff>0</xdr:colOff>
      <xdr:row>35</xdr:row>
      <xdr:rowOff>0</xdr:rowOff>
    </xdr:from>
    <xdr:to>
      <xdr:col>3</xdr:col>
      <xdr:colOff>155223</xdr:colOff>
      <xdr:row>39</xdr:row>
      <xdr:rowOff>180623</xdr:rowOff>
    </xdr:to>
    <xdr:sp macro="" textlink="pivots!E4">
      <xdr:nvSpPr>
        <xdr:cNvPr id="34" name="Rectangle 33">
          <a:extLst>
            <a:ext uri="{FF2B5EF4-FFF2-40B4-BE49-F238E27FC236}">
              <a16:creationId xmlns:a16="http://schemas.microsoft.com/office/drawing/2014/main" id="{19F77054-B0E5-4A1D-870A-125430A79839}"/>
            </a:ext>
          </a:extLst>
        </xdr:cNvPr>
        <xdr:cNvSpPr/>
      </xdr:nvSpPr>
      <xdr:spPr>
        <a:xfrm>
          <a:off x="606778" y="6420556"/>
          <a:ext cx="1368778" cy="914400"/>
        </a:xfrm>
        <a:prstGeom prst="rect">
          <a:avLst/>
        </a:prstGeom>
        <a:solidFill>
          <a:schemeClr val="accent6"/>
        </a:solidFill>
        <a:ln>
          <a:noFill/>
        </a:ln>
        <a:effectLst>
          <a:glow rad="25400">
            <a:schemeClr val="accent1">
              <a:alpha val="40000"/>
            </a:schemeClr>
          </a:glow>
          <a:outerShdw blurRad="279400" dist="139700" dir="21540000" algn="l" rotWithShape="0">
            <a:prstClr val="black">
              <a:alpha val="58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645D3EB-3D8E-4696-8F86-5E8C1D5F7ECB}" type="TxLink">
            <a:rPr lang="en-US" sz="1600" b="0" i="0" u="none" strike="noStrike">
              <a:solidFill>
                <a:schemeClr val="bg1"/>
              </a:solidFill>
              <a:latin typeface="Aptos Narrow"/>
              <a:ea typeface="+mn-ea"/>
              <a:cs typeface="+mn-cs"/>
            </a:rPr>
            <a:pPr marL="0" indent="0" algn="ctr"/>
            <a:t>307</a:t>
          </a:fld>
          <a:endParaRPr lang="en-IN" sz="1600" b="0" i="0" u="none" strike="noStrike">
            <a:solidFill>
              <a:schemeClr val="bg1"/>
            </a:solidFill>
            <a:latin typeface="Aptos Narrow"/>
            <a:ea typeface="+mn-ea"/>
            <a:cs typeface="+mn-cs"/>
          </a:endParaRPr>
        </a:p>
      </xdr:txBody>
    </xdr:sp>
    <xdr:clientData/>
  </xdr:twoCellAnchor>
  <xdr:twoCellAnchor>
    <xdr:from>
      <xdr:col>1</xdr:col>
      <xdr:colOff>148166</xdr:colOff>
      <xdr:row>35</xdr:row>
      <xdr:rowOff>63500</xdr:rowOff>
    </xdr:from>
    <xdr:to>
      <xdr:col>3</xdr:col>
      <xdr:colOff>155222</xdr:colOff>
      <xdr:row>36</xdr:row>
      <xdr:rowOff>169333</xdr:rowOff>
    </xdr:to>
    <xdr:sp macro="" textlink="">
      <xdr:nvSpPr>
        <xdr:cNvPr id="35" name="TextBox 34">
          <a:extLst>
            <a:ext uri="{FF2B5EF4-FFF2-40B4-BE49-F238E27FC236}">
              <a16:creationId xmlns:a16="http://schemas.microsoft.com/office/drawing/2014/main" id="{E81CE354-0786-4DFE-9A99-CA4EC9379FBB}"/>
            </a:ext>
          </a:extLst>
        </xdr:cNvPr>
        <xdr:cNvSpPr txBox="1"/>
      </xdr:nvSpPr>
      <xdr:spPr>
        <a:xfrm>
          <a:off x="754944" y="6484056"/>
          <a:ext cx="1220611" cy="289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6">
                  <a:lumMod val="20000"/>
                  <a:lumOff val="80000"/>
                </a:schemeClr>
              </a:solidFill>
            </a:rPr>
            <a:t>Happy Customers</a:t>
          </a:r>
        </a:p>
        <a:p>
          <a:pPr algn="ctr"/>
          <a:endParaRPr lang="en-IN" sz="1100">
            <a:solidFill>
              <a:schemeClr val="accent6">
                <a:lumMod val="20000"/>
                <a:lumOff val="80000"/>
              </a:schemeClr>
            </a:solidFill>
          </a:endParaRPr>
        </a:p>
      </xdr:txBody>
    </xdr:sp>
    <xdr:clientData/>
  </xdr:twoCellAnchor>
  <xdr:twoCellAnchor>
    <xdr:from>
      <xdr:col>1</xdr:col>
      <xdr:colOff>126999</xdr:colOff>
      <xdr:row>38</xdr:row>
      <xdr:rowOff>49388</xdr:rowOff>
    </xdr:from>
    <xdr:to>
      <xdr:col>2</xdr:col>
      <xdr:colOff>599721</xdr:colOff>
      <xdr:row>39</xdr:row>
      <xdr:rowOff>98778</xdr:rowOff>
    </xdr:to>
    <xdr:sp macro="" textlink="pivots!E9">
      <xdr:nvSpPr>
        <xdr:cNvPr id="37" name="TextBox 36">
          <a:extLst>
            <a:ext uri="{FF2B5EF4-FFF2-40B4-BE49-F238E27FC236}">
              <a16:creationId xmlns:a16="http://schemas.microsoft.com/office/drawing/2014/main" id="{D489B591-C60E-4AD7-B0A1-D91DC5FC7572}"/>
            </a:ext>
          </a:extLst>
        </xdr:cNvPr>
        <xdr:cNvSpPr txBox="1"/>
      </xdr:nvSpPr>
      <xdr:spPr>
        <a:xfrm>
          <a:off x="733777" y="7020277"/>
          <a:ext cx="1079500" cy="23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F903D99-6850-4B6E-8F77-5423A3D90623}" type="TxLink">
            <a:rPr lang="en-US" sz="1100" b="0" i="0" u="none" strike="noStrike">
              <a:solidFill>
                <a:schemeClr val="accent6">
                  <a:lumMod val="20000"/>
                  <a:lumOff val="80000"/>
                </a:schemeClr>
              </a:solidFill>
              <a:latin typeface="Aptos Narrow"/>
              <a:ea typeface="+mn-ea"/>
              <a:cs typeface="+mn-cs"/>
            </a:rPr>
            <a:pPr marL="0" indent="0" algn="ctr"/>
            <a:t>60</a:t>
          </a:fld>
          <a:endParaRPr lang="en-IN" sz="1100" b="0" i="0" u="none" strike="noStrike">
            <a:solidFill>
              <a:schemeClr val="accent6">
                <a:lumMod val="20000"/>
                <a:lumOff val="80000"/>
              </a:schemeClr>
            </a:solidFill>
            <a:latin typeface="Aptos Narrow"/>
            <a:ea typeface="+mn-ea"/>
            <a:cs typeface="+mn-cs"/>
          </a:endParaRPr>
        </a:p>
      </xdr:txBody>
    </xdr:sp>
    <xdr:clientData/>
  </xdr:twoCellAnchor>
  <xdr:twoCellAnchor editAs="oneCell">
    <xdr:from>
      <xdr:col>0</xdr:col>
      <xdr:colOff>605043</xdr:colOff>
      <xdr:row>14</xdr:row>
      <xdr:rowOff>13616</xdr:rowOff>
    </xdr:from>
    <xdr:to>
      <xdr:col>1</xdr:col>
      <xdr:colOff>246945</xdr:colOff>
      <xdr:row>15</xdr:row>
      <xdr:rowOff>63766</xdr:rowOff>
    </xdr:to>
    <xdr:pic>
      <xdr:nvPicPr>
        <xdr:cNvPr id="42" name="Graphic 41" descr="Shopping cart with solid fill">
          <a:extLst>
            <a:ext uri="{FF2B5EF4-FFF2-40B4-BE49-F238E27FC236}">
              <a16:creationId xmlns:a16="http://schemas.microsoft.com/office/drawing/2014/main" id="{D1FAC209-576B-4973-9806-36DEEABB424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05043" y="2581838"/>
          <a:ext cx="248680" cy="233596"/>
        </a:xfrm>
        <a:prstGeom prst="rect">
          <a:avLst/>
        </a:prstGeom>
      </xdr:spPr>
    </xdr:pic>
    <xdr:clientData/>
  </xdr:twoCellAnchor>
  <xdr:twoCellAnchor editAs="oneCell">
    <xdr:from>
      <xdr:col>1</xdr:col>
      <xdr:colOff>7056</xdr:colOff>
      <xdr:row>21</xdr:row>
      <xdr:rowOff>56445</xdr:rowOff>
    </xdr:from>
    <xdr:to>
      <xdr:col>1</xdr:col>
      <xdr:colOff>275166</xdr:colOff>
      <xdr:row>22</xdr:row>
      <xdr:rowOff>135689</xdr:rowOff>
    </xdr:to>
    <xdr:pic>
      <xdr:nvPicPr>
        <xdr:cNvPr id="43" name="Graphic 42" descr="Hourglass Finished with solid fill">
          <a:extLst>
            <a:ext uri="{FF2B5EF4-FFF2-40B4-BE49-F238E27FC236}">
              <a16:creationId xmlns:a16="http://schemas.microsoft.com/office/drawing/2014/main" id="{621E69EE-A7F6-43EC-A03C-A3255C8B769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3834" y="3908778"/>
          <a:ext cx="268110" cy="262689"/>
        </a:xfrm>
        <a:prstGeom prst="rect">
          <a:avLst/>
        </a:prstGeom>
      </xdr:spPr>
    </xdr:pic>
    <xdr:clientData/>
  </xdr:twoCellAnchor>
  <xdr:twoCellAnchor editAs="oneCell">
    <xdr:from>
      <xdr:col>0</xdr:col>
      <xdr:colOff>599722</xdr:colOff>
      <xdr:row>35</xdr:row>
      <xdr:rowOff>14111</xdr:rowOff>
    </xdr:from>
    <xdr:to>
      <xdr:col>1</xdr:col>
      <xdr:colOff>250293</xdr:colOff>
      <xdr:row>36</xdr:row>
      <xdr:rowOff>77610</xdr:rowOff>
    </xdr:to>
    <xdr:pic>
      <xdr:nvPicPr>
        <xdr:cNvPr id="45" name="Graphic 44" descr="Star-struck face outline with solid fill">
          <a:extLst>
            <a:ext uri="{FF2B5EF4-FFF2-40B4-BE49-F238E27FC236}">
              <a16:creationId xmlns:a16="http://schemas.microsoft.com/office/drawing/2014/main" id="{792FB21A-EB6E-46BF-BA62-E2176E08FB0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99722" y="6434667"/>
          <a:ext cx="257349" cy="246943"/>
        </a:xfrm>
        <a:prstGeom prst="rect">
          <a:avLst/>
        </a:prstGeom>
      </xdr:spPr>
    </xdr:pic>
    <xdr:clientData/>
  </xdr:twoCellAnchor>
  <xdr:twoCellAnchor editAs="oneCell">
    <xdr:from>
      <xdr:col>1</xdr:col>
      <xdr:colOff>49389</xdr:colOff>
      <xdr:row>27</xdr:row>
      <xdr:rowOff>162279</xdr:rowOff>
    </xdr:from>
    <xdr:to>
      <xdr:col>1</xdr:col>
      <xdr:colOff>343448</xdr:colOff>
      <xdr:row>29</xdr:row>
      <xdr:rowOff>77612</xdr:rowOff>
    </xdr:to>
    <xdr:pic>
      <xdr:nvPicPr>
        <xdr:cNvPr id="46" name="Graphic 45" descr="Rating Star with solid fill">
          <a:extLst>
            <a:ext uri="{FF2B5EF4-FFF2-40B4-BE49-F238E27FC236}">
              <a16:creationId xmlns:a16="http://schemas.microsoft.com/office/drawing/2014/main" id="{71DEE23F-3343-4594-83A5-A2FEDF16963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656167" y="5115279"/>
          <a:ext cx="294059" cy="282221"/>
        </a:xfrm>
        <a:prstGeom prst="rect">
          <a:avLst/>
        </a:prstGeom>
      </xdr:spPr>
    </xdr:pic>
    <xdr:clientData/>
  </xdr:twoCellAnchor>
  <xdr:twoCellAnchor>
    <xdr:from>
      <xdr:col>3</xdr:col>
      <xdr:colOff>460888</xdr:colOff>
      <xdr:row>6</xdr:row>
      <xdr:rowOff>174114</xdr:rowOff>
    </xdr:from>
    <xdr:to>
      <xdr:col>10</xdr:col>
      <xdr:colOff>322239</xdr:colOff>
      <xdr:row>19</xdr:row>
      <xdr:rowOff>9072</xdr:rowOff>
    </xdr:to>
    <xdr:graphicFrame macro="">
      <xdr:nvGraphicFramePr>
        <xdr:cNvPr id="48" name="Chart 47">
          <a:extLst>
            <a:ext uri="{FF2B5EF4-FFF2-40B4-BE49-F238E27FC236}">
              <a16:creationId xmlns:a16="http://schemas.microsoft.com/office/drawing/2014/main" id="{880EB826-0450-40A9-8C4C-BCDD1D92B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44770</xdr:colOff>
      <xdr:row>22</xdr:row>
      <xdr:rowOff>145142</xdr:rowOff>
    </xdr:from>
    <xdr:to>
      <xdr:col>10</xdr:col>
      <xdr:colOff>199030</xdr:colOff>
      <xdr:row>39</xdr:row>
      <xdr:rowOff>629</xdr:rowOff>
    </xdr:to>
    <xdr:graphicFrame macro="">
      <xdr:nvGraphicFramePr>
        <xdr:cNvPr id="6" name="Chart 5">
          <a:extLst>
            <a:ext uri="{FF2B5EF4-FFF2-40B4-BE49-F238E27FC236}">
              <a16:creationId xmlns:a16="http://schemas.microsoft.com/office/drawing/2014/main" id="{0D9F6C8D-7DE2-40AC-B87A-42FB4F72C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531330</xdr:colOff>
      <xdr:row>22</xdr:row>
      <xdr:rowOff>145142</xdr:rowOff>
    </xdr:from>
    <xdr:to>
      <xdr:col>7</xdr:col>
      <xdr:colOff>75821</xdr:colOff>
      <xdr:row>38</xdr:row>
      <xdr:rowOff>175722</xdr:rowOff>
    </xdr:to>
    <xdr:graphicFrame macro="">
      <xdr:nvGraphicFramePr>
        <xdr:cNvPr id="7" name="Chart 6">
          <a:extLst>
            <a:ext uri="{FF2B5EF4-FFF2-40B4-BE49-F238E27FC236}">
              <a16:creationId xmlns:a16="http://schemas.microsoft.com/office/drawing/2014/main" id="{4BF679DC-E4CF-4456-8BFA-EFCE7DAF1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807357</xdr:colOff>
      <xdr:row>6</xdr:row>
      <xdr:rowOff>172472</xdr:rowOff>
    </xdr:from>
    <xdr:to>
      <xdr:col>17</xdr:col>
      <xdr:colOff>539386</xdr:colOff>
      <xdr:row>19</xdr:row>
      <xdr:rowOff>45357</xdr:rowOff>
    </xdr:to>
    <xdr:graphicFrame macro="">
      <xdr:nvGraphicFramePr>
        <xdr:cNvPr id="5" name="Chart 4">
          <a:extLst>
            <a:ext uri="{FF2B5EF4-FFF2-40B4-BE49-F238E27FC236}">
              <a16:creationId xmlns:a16="http://schemas.microsoft.com/office/drawing/2014/main" id="{0327863D-8E85-43AE-A86D-5D1ACDAD8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201084</xdr:colOff>
      <xdr:row>6</xdr:row>
      <xdr:rowOff>178406</xdr:rowOff>
    </xdr:from>
    <xdr:to>
      <xdr:col>23</xdr:col>
      <xdr:colOff>179918</xdr:colOff>
      <xdr:row>19</xdr:row>
      <xdr:rowOff>45357</xdr:rowOff>
    </xdr:to>
    <xdr:graphicFrame macro="">
      <xdr:nvGraphicFramePr>
        <xdr:cNvPr id="8" name="Chart 7">
          <a:extLst>
            <a:ext uri="{FF2B5EF4-FFF2-40B4-BE49-F238E27FC236}">
              <a16:creationId xmlns:a16="http://schemas.microsoft.com/office/drawing/2014/main" id="{AE525069-92C9-42C8-A591-11432DBAF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589234</xdr:colOff>
      <xdr:row>11</xdr:row>
      <xdr:rowOff>181574</xdr:rowOff>
    </xdr:from>
    <xdr:to>
      <xdr:col>8</xdr:col>
      <xdr:colOff>223108</xdr:colOff>
      <xdr:row>26</xdr:row>
      <xdr:rowOff>178828</xdr:rowOff>
    </xdr:to>
    <xdr:graphicFrame macro="">
      <xdr:nvGraphicFramePr>
        <xdr:cNvPr id="5" name="Chart 4">
          <a:extLst>
            <a:ext uri="{FF2B5EF4-FFF2-40B4-BE49-F238E27FC236}">
              <a16:creationId xmlns:a16="http://schemas.microsoft.com/office/drawing/2014/main" id="{B0263F41-9E73-709A-C432-E78CDDF8E3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938309</xdr:colOff>
      <xdr:row>49</xdr:row>
      <xdr:rowOff>9955</xdr:rowOff>
    </xdr:from>
    <xdr:to>
      <xdr:col>16</xdr:col>
      <xdr:colOff>103134</xdr:colOff>
      <xdr:row>64</xdr:row>
      <xdr:rowOff>7209</xdr:rowOff>
    </xdr:to>
    <xdr:graphicFrame macro="">
      <xdr:nvGraphicFramePr>
        <xdr:cNvPr id="6" name="Chart 5">
          <a:extLst>
            <a:ext uri="{FF2B5EF4-FFF2-40B4-BE49-F238E27FC236}">
              <a16:creationId xmlns:a16="http://schemas.microsoft.com/office/drawing/2014/main" id="{0791EB3F-A3A1-AD69-7B6A-0955B9738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440172</xdr:colOff>
      <xdr:row>49</xdr:row>
      <xdr:rowOff>0</xdr:rowOff>
    </xdr:from>
    <xdr:to>
      <xdr:col>21</xdr:col>
      <xdr:colOff>337200</xdr:colOff>
      <xdr:row>63</xdr:row>
      <xdr:rowOff>180317</xdr:rowOff>
    </xdr:to>
    <xdr:graphicFrame macro="">
      <xdr:nvGraphicFramePr>
        <xdr:cNvPr id="8" name="Chart 7">
          <a:extLst>
            <a:ext uri="{FF2B5EF4-FFF2-40B4-BE49-F238E27FC236}">
              <a16:creationId xmlns:a16="http://schemas.microsoft.com/office/drawing/2014/main" id="{E93FA2DE-53EF-4B38-B0FE-48D6702DF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210308</xdr:colOff>
      <xdr:row>74</xdr:row>
      <xdr:rowOff>70259</xdr:rowOff>
    </xdr:from>
    <xdr:to>
      <xdr:col>11</xdr:col>
      <xdr:colOff>238271</xdr:colOff>
      <xdr:row>89</xdr:row>
      <xdr:rowOff>17128</xdr:rowOff>
    </xdr:to>
    <xdr:graphicFrame macro="">
      <xdr:nvGraphicFramePr>
        <xdr:cNvPr id="2" name="Chart 1">
          <a:extLst>
            <a:ext uri="{FF2B5EF4-FFF2-40B4-BE49-F238E27FC236}">
              <a16:creationId xmlns:a16="http://schemas.microsoft.com/office/drawing/2014/main" id="{E2C3B1B2-F007-47ED-B17B-CAF940337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hka ch" refreshedDate="46013.51157141204" backgroundQuery="1" createdVersion="8" refreshedVersion="8" minRefreshableVersion="3" recordCount="0" supportSubquery="1" supportAdvancedDrill="1" xr:uid="{239C1A5A-F304-42E2-8ADC-31D31E043DF1}">
  <cacheSource type="external" connectionId="1"/>
  <cacheFields count="5">
    <cacheField name="[Measures].[call count]" caption="call count" numFmtId="0" hierarchy="17" level="32767"/>
    <cacheField name="[Measures].[Total purchase]" caption="Total purchase"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purchase]" caption="Total purchase"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hka ch" refreshedDate="46013.643107986114" backgroundQuery="1" createdVersion="8" refreshedVersion="8" minRefreshableVersion="3" recordCount="0" supportSubquery="1" supportAdvancedDrill="1" xr:uid="{1B6DCE7B-E961-4557-9311-4E23F0BD2F3D}">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purchase]" caption="Total purchase"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purchase]" caption="Total purchase"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hka ch" refreshedDate="46014.40960590278" backgroundQuery="1" createdVersion="8" refreshedVersion="8" minRefreshableVersion="3" recordCount="0" supportSubquery="1" supportAdvancedDrill="1" xr:uid="{F8C8098E-1EDF-4309-98D2-C1BBAF43F40B}">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purchase]" caption="Total purchase"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hka ch" refreshedDate="46014.469349652776" backgroundQuery="1" createdVersion="8" refreshedVersion="8" minRefreshableVersion="3" recordCount="0" supportSubquery="1" supportAdvancedDrill="1" xr:uid="{E15A09BF-5A96-4A1D-A8C3-ECD6CC1805A6}">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purchase]" caption="Total purchase"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caption="Total purchase"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hka ch" refreshedDate="46014.780868981485" backgroundQuery="1" createdVersion="8" refreshedVersion="8" minRefreshableVersion="3" recordCount="0" supportSubquery="1" supportAdvancedDrill="1" xr:uid="{FC11D560-BF79-41B5-8ADD-3D191C03B4DF}">
  <cacheSource type="external" connectionId="1"/>
  <cacheFields count="6">
    <cacheField name="[Measures].[call count]" caption="call count" numFmtId="0" hierarchy="17" level="32767"/>
    <cacheField name="[Measures].[Total purchase]" caption="Total purchase"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purchase]" caption="Total purchase"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hka ch" refreshedDate="46014.780870023147" backgroundQuery="1" createdVersion="8" refreshedVersion="8" minRefreshableVersion="3" recordCount="0" supportSubquery="1" supportAdvancedDrill="1" xr:uid="{1A11688A-C6A2-457C-A46F-B7BF3F3D5551}">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purchase]" caption="Total purchase"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hka ch" refreshedDate="46014.780870717594" backgroundQuery="1" createdVersion="8" refreshedVersion="8" minRefreshableVersion="3" recordCount="0" supportSubquery="1" supportAdvancedDrill="1" xr:uid="{ADE7C630-FE83-4ED2-A77E-03589348FD3D}">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purchase]" caption="Total purchase"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hka ch" refreshedDate="46014.78087141204" backgroundQuery="1" createdVersion="8" refreshedVersion="8" minRefreshableVersion="3" recordCount="0" supportSubquery="1" supportAdvancedDrill="1" xr:uid="{6850775D-2C1E-4FBC-A5DC-C19D9A711540}">
  <cacheSource type="external" connectionId="1"/>
  <cacheFields count="1">
    <cacheField name="[calls].[Representative].[Representative]" caption="Representative" numFmtId="0" hierarchy="3" level="1">
      <sharedItems count="1">
        <s v="R03"/>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caption="Total purchase"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hka ch" refreshedDate="46014.780872222225" backgroundQuery="1" createdVersion="8" refreshedVersion="8" minRefreshableVersion="3" recordCount="0" supportSubquery="1" supportAdvancedDrill="1" xr:uid="{D2F3BE87-FF70-4346-BED3-7F77752ADAE1}">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purchase]" caption="Total purchase"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hka ch" refreshedDate="46013.51156550926" backgroundQuery="1" createdVersion="3" refreshedVersion="8" minRefreshableVersion="3" recordCount="0" supportSubquery="1" supportAdvancedDrill="1" xr:uid="{7CC29FFA-E77A-4155-ABCE-E4FB27958E5E}">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caption="Total purchase"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682788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A6F56A-3670-4BB8-A52C-3D52C52CABBD}" name="PivotTable2"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AA248E-B5E2-44A4-A89D-F525834D8376}" name="rep satisfaction"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94:B101"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26"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DDB214-EED9-4E9C-83C6-3B1ACC2D75AB}" name="weekda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J16:K24"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2">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446403-5DB4-4427-AA6D-13E89E2C5C40}"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CBCB21-C79B-4349-87C1-7A1B6DF11024}" name="Selected rep"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70:A71"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35EAAE-B720-401E-A849-BF9E82DE543B}"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C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733744-DA5C-4F10-9C29-DF5D0364EC19}"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77:D8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7E5243-C7BA-4E14-959D-69DEF4F6CF3E}" name="Month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20:C3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10" format="5"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0E7E89-E5F3-46BA-9742-FFC24F083292}" name="Rep Amount"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7">
  <location ref="A105:G124"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Business woman raising hand</v>
  </rv>
  <rv s="0">
    <v>1</v>
    <v>5</v>
    <v>A person in a skirt and a cardigan
Description automatically generated</v>
  </rv>
  <rv s="0">
    <v>2</v>
    <v>5</v>
    <v>A person in a suit and tie
Description automatically generated</v>
  </rv>
  <rv s="0">
    <v>0</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7C77A056-ACE4-4994-A24F-54E39AF1EF33}" sourceName="[calls].[Representative]">
  <pivotTables>
    <pivotTable tabId="6" name="PivotTable2"/>
    <pivotTable tabId="6" name="Monthly trend"/>
    <pivotTable tabId="6" name="weekday trend"/>
    <pivotTable tabId="6" name="Selected rep"/>
    <pivotTable tabId="6" name="rep satisfaction"/>
  </pivotTables>
  <data>
    <olap pivotCacheId="56827880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64B11785-DB53-4E04-A1BE-591BD2FE5A00}" cache="Slicer_Representative" caption="Representative" level="1" style="Slicer Style 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H1" zoomScale="75" zoomScaleNormal="115" workbookViewId="0">
      <selection activeCell="E5" sqref="E5"/>
    </sheetView>
  </sheetViews>
  <sheetFormatPr defaultRowHeight="14.5" x14ac:dyDescent="0.35"/>
  <cols>
    <col min="1" max="1" width="3.54296875" customWidth="1"/>
    <col min="2" max="2" width="14.54296875" customWidth="1"/>
    <col min="3" max="3" width="12.81640625" customWidth="1"/>
    <col min="4" max="4" width="16.54296875" customWidth="1"/>
    <col min="5" max="5" width="15.1796875" customWidth="1"/>
    <col min="6" max="6" width="16.1796875" customWidth="1"/>
    <col min="7" max="7" width="17.26953125" customWidth="1"/>
    <col min="8" max="8" width="18.453125" customWidth="1"/>
    <col min="9" max="9" width="17.26953125" customWidth="1"/>
    <col min="10" max="12" width="15.54296875" customWidth="1"/>
    <col min="13" max="16" width="7.54296875" customWidth="1"/>
    <col min="17" max="17" width="14.54296875" customWidth="1"/>
    <col min="20" max="20" width="10.54296875" customWidth="1"/>
  </cols>
  <sheetData>
    <row r="1" spans="2:20" s="4" customFormat="1" ht="48" customHeight="1" x14ac:dyDescent="0.35">
      <c r="B1" s="5" t="s">
        <v>0</v>
      </c>
    </row>
    <row r="2" spans="2:20" x14ac:dyDescent="0.35">
      <c r="R2" s="1"/>
    </row>
    <row r="3" spans="2:20" x14ac:dyDescent="0.35">
      <c r="B3" s="14" t="s">
        <v>1</v>
      </c>
      <c r="C3" s="14" t="s">
        <v>2</v>
      </c>
      <c r="D3" s="15" t="s">
        <v>3</v>
      </c>
      <c r="E3" s="16" t="s">
        <v>4</v>
      </c>
      <c r="F3" s="16" t="s">
        <v>5</v>
      </c>
      <c r="G3" s="14" t="s">
        <v>6</v>
      </c>
      <c r="H3" s="14" t="s">
        <v>7</v>
      </c>
      <c r="I3" t="s">
        <v>8</v>
      </c>
      <c r="J3" t="s">
        <v>9</v>
      </c>
      <c r="K3" t="s">
        <v>10</v>
      </c>
      <c r="L3" t="s">
        <v>11</v>
      </c>
      <c r="Q3" s="8" t="s">
        <v>2</v>
      </c>
      <c r="R3" s="9" t="s">
        <v>12</v>
      </c>
      <c r="S3" s="9" t="s">
        <v>13</v>
      </c>
      <c r="T3" s="10" t="s">
        <v>14</v>
      </c>
    </row>
    <row r="4" spans="2:20" x14ac:dyDescent="0.35">
      <c r="B4" t="s">
        <v>15</v>
      </c>
      <c r="C4" t="s">
        <v>16</v>
      </c>
      <c r="D4">
        <v>116</v>
      </c>
      <c r="E4" s="17" t="s">
        <v>17</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18</v>
      </c>
      <c r="R4" s="3" t="s">
        <v>19</v>
      </c>
      <c r="S4" s="2">
        <v>41</v>
      </c>
      <c r="T4" s="7" t="s">
        <v>20</v>
      </c>
    </row>
    <row r="5" spans="2:20" x14ac:dyDescent="0.35">
      <c r="B5" t="s">
        <v>21</v>
      </c>
      <c r="C5" t="s">
        <v>22</v>
      </c>
      <c r="D5">
        <v>119</v>
      </c>
      <c r="E5" s="17" t="s">
        <v>17</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23</v>
      </c>
      <c r="R5" s="3" t="s">
        <v>19</v>
      </c>
      <c r="S5" s="2">
        <v>31</v>
      </c>
      <c r="T5" s="7" t="s">
        <v>24</v>
      </c>
    </row>
    <row r="6" spans="2:20" x14ac:dyDescent="0.35">
      <c r="B6" t="s">
        <v>25</v>
      </c>
      <c r="C6" t="s">
        <v>26</v>
      </c>
      <c r="D6">
        <v>68</v>
      </c>
      <c r="E6" s="17" t="s">
        <v>27</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16</v>
      </c>
      <c r="R6" s="3" t="s">
        <v>19</v>
      </c>
      <c r="S6" s="2">
        <v>26</v>
      </c>
      <c r="T6" s="7" t="s">
        <v>28</v>
      </c>
    </row>
    <row r="7" spans="2:20" x14ac:dyDescent="0.35">
      <c r="B7" t="s">
        <v>29</v>
      </c>
      <c r="C7" t="s">
        <v>30</v>
      </c>
      <c r="D7">
        <v>119</v>
      </c>
      <c r="E7" s="17" t="s">
        <v>27</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22</v>
      </c>
      <c r="R7" s="3" t="s">
        <v>19</v>
      </c>
      <c r="S7" s="2">
        <v>36</v>
      </c>
      <c r="T7" s="7" t="s">
        <v>28</v>
      </c>
    </row>
    <row r="8" spans="2:20" x14ac:dyDescent="0.35">
      <c r="B8" t="s">
        <v>31</v>
      </c>
      <c r="C8" t="s">
        <v>32</v>
      </c>
      <c r="D8">
        <v>128</v>
      </c>
      <c r="E8" s="17" t="s">
        <v>33</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26</v>
      </c>
      <c r="R8" s="3" t="s">
        <v>19</v>
      </c>
      <c r="S8" s="2">
        <v>37</v>
      </c>
      <c r="T8" s="7" t="s">
        <v>20</v>
      </c>
    </row>
    <row r="9" spans="2:20" x14ac:dyDescent="0.35">
      <c r="B9" t="s">
        <v>34</v>
      </c>
      <c r="C9" t="s">
        <v>32</v>
      </c>
      <c r="D9">
        <v>49</v>
      </c>
      <c r="E9" s="17" t="s">
        <v>27</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35</v>
      </c>
      <c r="R9" s="3" t="s">
        <v>19</v>
      </c>
      <c r="S9" s="2">
        <v>23</v>
      </c>
      <c r="T9" s="7" t="s">
        <v>20</v>
      </c>
    </row>
    <row r="10" spans="2:20" x14ac:dyDescent="0.35">
      <c r="B10" t="s">
        <v>36</v>
      </c>
      <c r="C10" t="s">
        <v>37</v>
      </c>
      <c r="D10">
        <v>84</v>
      </c>
      <c r="E10" s="17" t="s">
        <v>17</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37</v>
      </c>
      <c r="R10" s="3" t="s">
        <v>38</v>
      </c>
      <c r="S10" s="2">
        <v>22</v>
      </c>
      <c r="T10" s="7" t="s">
        <v>24</v>
      </c>
    </row>
    <row r="11" spans="2:20" x14ac:dyDescent="0.35">
      <c r="B11" t="s">
        <v>39</v>
      </c>
      <c r="C11" t="s">
        <v>16</v>
      </c>
      <c r="D11">
        <v>103</v>
      </c>
      <c r="E11" s="17" t="s">
        <v>40</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41</v>
      </c>
      <c r="R11" s="3" t="s">
        <v>38</v>
      </c>
      <c r="S11" s="2">
        <v>42</v>
      </c>
      <c r="T11" s="7" t="s">
        <v>24</v>
      </c>
    </row>
    <row r="12" spans="2:20" x14ac:dyDescent="0.35">
      <c r="B12" t="s">
        <v>42</v>
      </c>
      <c r="C12" t="s">
        <v>26</v>
      </c>
      <c r="D12">
        <v>31</v>
      </c>
      <c r="E12" s="17" t="s">
        <v>27</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43</v>
      </c>
      <c r="R12" s="3" t="s">
        <v>38</v>
      </c>
      <c r="S12" s="2">
        <v>25</v>
      </c>
      <c r="T12" s="7" t="s">
        <v>20</v>
      </c>
    </row>
    <row r="13" spans="2:20" x14ac:dyDescent="0.35">
      <c r="B13" t="s">
        <v>44</v>
      </c>
      <c r="C13" t="s">
        <v>45</v>
      </c>
      <c r="D13">
        <v>44</v>
      </c>
      <c r="E13" s="17" t="s">
        <v>46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45</v>
      </c>
      <c r="R13" s="3" t="s">
        <v>38</v>
      </c>
      <c r="S13" s="2">
        <v>30</v>
      </c>
      <c r="T13" s="7" t="s">
        <v>24</v>
      </c>
    </row>
    <row r="14" spans="2:20" x14ac:dyDescent="0.35">
      <c r="B14" t="s">
        <v>47</v>
      </c>
      <c r="C14" t="s">
        <v>32</v>
      </c>
      <c r="D14">
        <v>102</v>
      </c>
      <c r="E14" s="17" t="s">
        <v>27</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32</v>
      </c>
      <c r="R14" s="3" t="s">
        <v>38</v>
      </c>
      <c r="S14" s="2">
        <v>30</v>
      </c>
      <c r="T14" s="7" t="s">
        <v>28</v>
      </c>
    </row>
    <row r="15" spans="2:20" x14ac:dyDescent="0.35">
      <c r="B15" t="s">
        <v>48</v>
      </c>
      <c r="C15" t="s">
        <v>49</v>
      </c>
      <c r="D15">
        <v>135</v>
      </c>
      <c r="E15" s="17" t="s">
        <v>17</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50</v>
      </c>
      <c r="R15" s="3" t="s">
        <v>38</v>
      </c>
      <c r="S15" s="2">
        <v>28</v>
      </c>
      <c r="T15" s="7" t="s">
        <v>28</v>
      </c>
    </row>
    <row r="16" spans="2:20" x14ac:dyDescent="0.35">
      <c r="B16" t="s">
        <v>51</v>
      </c>
      <c r="C16" t="s">
        <v>23</v>
      </c>
      <c r="D16">
        <v>98</v>
      </c>
      <c r="E16" s="17" t="s">
        <v>27</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49</v>
      </c>
      <c r="R16" s="3" t="s">
        <v>38</v>
      </c>
      <c r="S16" s="2">
        <v>37</v>
      </c>
      <c r="T16" s="7" t="s">
        <v>24</v>
      </c>
    </row>
    <row r="17" spans="2:20" x14ac:dyDescent="0.35">
      <c r="B17" t="s">
        <v>52</v>
      </c>
      <c r="C17" t="s">
        <v>45</v>
      </c>
      <c r="D17">
        <v>139</v>
      </c>
      <c r="E17" s="17" t="s">
        <v>27</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30</v>
      </c>
      <c r="R17" s="3" t="s">
        <v>38</v>
      </c>
      <c r="S17" s="2">
        <v>38</v>
      </c>
      <c r="T17" s="7" t="s">
        <v>20</v>
      </c>
    </row>
    <row r="18" spans="2:20" x14ac:dyDescent="0.35">
      <c r="B18" t="s">
        <v>53</v>
      </c>
      <c r="C18" t="s">
        <v>49</v>
      </c>
      <c r="D18">
        <v>48</v>
      </c>
      <c r="E18" s="17" t="s">
        <v>33</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54</v>
      </c>
      <c r="R18" s="19" t="s">
        <v>38</v>
      </c>
      <c r="S18" s="12">
        <v>43</v>
      </c>
      <c r="T18" s="13" t="s">
        <v>24</v>
      </c>
    </row>
    <row r="19" spans="2:20" x14ac:dyDescent="0.35">
      <c r="B19" t="s">
        <v>55</v>
      </c>
      <c r="C19" t="s">
        <v>45</v>
      </c>
      <c r="D19">
        <v>176</v>
      </c>
      <c r="E19" s="17" t="s">
        <v>17</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56</v>
      </c>
      <c r="C20" t="s">
        <v>45</v>
      </c>
      <c r="D20">
        <v>99</v>
      </c>
      <c r="E20" s="17" t="s">
        <v>33</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57</v>
      </c>
      <c r="C21" t="s">
        <v>43</v>
      </c>
      <c r="D21">
        <v>28</v>
      </c>
      <c r="E21" s="17" t="s">
        <v>46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58</v>
      </c>
      <c r="C22" t="s">
        <v>37</v>
      </c>
      <c r="D22">
        <v>54</v>
      </c>
      <c r="E22" s="17" t="s">
        <v>27</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59</v>
      </c>
      <c r="C23" t="s">
        <v>35</v>
      </c>
      <c r="D23">
        <v>48</v>
      </c>
      <c r="E23" s="17" t="s">
        <v>17</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60</v>
      </c>
      <c r="C24" t="s">
        <v>22</v>
      </c>
      <c r="D24">
        <v>128</v>
      </c>
      <c r="E24" s="17" t="s">
        <v>17</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61</v>
      </c>
      <c r="C25" t="s">
        <v>22</v>
      </c>
      <c r="D25">
        <v>38</v>
      </c>
      <c r="E25" s="17" t="s">
        <v>40</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62</v>
      </c>
      <c r="C26" t="s">
        <v>16</v>
      </c>
      <c r="D26">
        <v>67</v>
      </c>
      <c r="E26" s="17" t="s">
        <v>40</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63</v>
      </c>
      <c r="C27" t="s">
        <v>54</v>
      </c>
      <c r="D27">
        <v>58</v>
      </c>
      <c r="E27" s="17" t="s">
        <v>27</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64</v>
      </c>
      <c r="C28" t="s">
        <v>45</v>
      </c>
      <c r="D28">
        <v>54</v>
      </c>
      <c r="E28" s="17" t="s">
        <v>33</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65</v>
      </c>
      <c r="C29" t="s">
        <v>50</v>
      </c>
      <c r="D29">
        <v>28</v>
      </c>
      <c r="E29" s="17" t="s">
        <v>17</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66</v>
      </c>
      <c r="C30" t="s">
        <v>23</v>
      </c>
      <c r="D30">
        <v>73</v>
      </c>
      <c r="E30" s="17" t="s">
        <v>17</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67</v>
      </c>
      <c r="C31" t="s">
        <v>32</v>
      </c>
      <c r="D31">
        <v>81</v>
      </c>
      <c r="E31" s="17" t="s">
        <v>17</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68</v>
      </c>
      <c r="C32" t="s">
        <v>43</v>
      </c>
      <c r="D32">
        <v>31</v>
      </c>
      <c r="E32" s="17" t="s">
        <v>40</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69</v>
      </c>
      <c r="C33" t="s">
        <v>54</v>
      </c>
      <c r="D33">
        <v>155</v>
      </c>
      <c r="E33" s="17" t="s">
        <v>33</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70</v>
      </c>
      <c r="C34" t="s">
        <v>43</v>
      </c>
      <c r="D34">
        <v>80</v>
      </c>
      <c r="E34" s="17" t="s">
        <v>17</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71</v>
      </c>
      <c r="C35" t="s">
        <v>32</v>
      </c>
      <c r="D35">
        <v>82</v>
      </c>
      <c r="E35" s="17" t="s">
        <v>17</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72</v>
      </c>
      <c r="C36" t="s">
        <v>32</v>
      </c>
      <c r="D36">
        <v>29</v>
      </c>
      <c r="E36" s="17" t="s">
        <v>33</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73</v>
      </c>
      <c r="C37" t="s">
        <v>35</v>
      </c>
      <c r="D37">
        <v>160</v>
      </c>
      <c r="E37" s="17" t="s">
        <v>27</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74</v>
      </c>
      <c r="C38" t="s">
        <v>18</v>
      </c>
      <c r="D38">
        <v>105</v>
      </c>
      <c r="E38" s="17" t="s">
        <v>17</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75</v>
      </c>
      <c r="C39" t="s">
        <v>43</v>
      </c>
      <c r="D39">
        <v>75</v>
      </c>
      <c r="E39" s="17" t="s">
        <v>46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76</v>
      </c>
      <c r="C40" t="s">
        <v>54</v>
      </c>
      <c r="D40">
        <v>94</v>
      </c>
      <c r="E40" s="17" t="s">
        <v>46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77</v>
      </c>
      <c r="C41" t="s">
        <v>22</v>
      </c>
      <c r="D41">
        <v>90</v>
      </c>
      <c r="E41" s="17" t="s">
        <v>27</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78</v>
      </c>
      <c r="C42" t="s">
        <v>54</v>
      </c>
      <c r="D42">
        <v>81</v>
      </c>
      <c r="E42" s="17" t="s">
        <v>40</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79</v>
      </c>
      <c r="C43" t="s">
        <v>43</v>
      </c>
      <c r="D43">
        <v>106</v>
      </c>
      <c r="E43" s="17" t="s">
        <v>17</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80</v>
      </c>
      <c r="C44" t="s">
        <v>22</v>
      </c>
      <c r="D44">
        <v>74</v>
      </c>
      <c r="E44" s="17" t="s">
        <v>40</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81</v>
      </c>
      <c r="C45" t="s">
        <v>45</v>
      </c>
      <c r="D45">
        <v>105</v>
      </c>
      <c r="E45" s="17" t="s">
        <v>27</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82</v>
      </c>
      <c r="C46" t="s">
        <v>43</v>
      </c>
      <c r="D46">
        <v>89</v>
      </c>
      <c r="E46" s="17" t="s">
        <v>17</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83</v>
      </c>
      <c r="C47" t="s">
        <v>49</v>
      </c>
      <c r="D47">
        <v>132</v>
      </c>
      <c r="E47" s="17" t="s">
        <v>46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84</v>
      </c>
      <c r="C48" t="s">
        <v>18</v>
      </c>
      <c r="D48">
        <v>105</v>
      </c>
      <c r="E48" s="17" t="s">
        <v>33</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85</v>
      </c>
      <c r="C49" t="s">
        <v>32</v>
      </c>
      <c r="D49">
        <v>13</v>
      </c>
      <c r="E49" s="17" t="s">
        <v>46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86</v>
      </c>
      <c r="C50" t="s">
        <v>30</v>
      </c>
      <c r="D50">
        <v>131</v>
      </c>
      <c r="E50" s="17" t="s">
        <v>33</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87</v>
      </c>
      <c r="C51" t="s">
        <v>22</v>
      </c>
      <c r="D51">
        <v>104</v>
      </c>
      <c r="E51" s="17" t="s">
        <v>17</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88</v>
      </c>
      <c r="C52" t="s">
        <v>16</v>
      </c>
      <c r="D52">
        <v>90</v>
      </c>
      <c r="E52" s="17" t="s">
        <v>27</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89</v>
      </c>
      <c r="C53" t="s">
        <v>50</v>
      </c>
      <c r="D53">
        <v>37</v>
      </c>
      <c r="E53" s="17" t="s">
        <v>27</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90</v>
      </c>
      <c r="C54" t="s">
        <v>23</v>
      </c>
      <c r="D54">
        <v>149</v>
      </c>
      <c r="E54" s="17" t="s">
        <v>33</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91</v>
      </c>
      <c r="C55" t="s">
        <v>49</v>
      </c>
      <c r="D55">
        <v>100</v>
      </c>
      <c r="E55" s="17" t="s">
        <v>40</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92</v>
      </c>
      <c r="C56" t="s">
        <v>49</v>
      </c>
      <c r="D56">
        <v>79</v>
      </c>
      <c r="E56" s="17" t="s">
        <v>46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93</v>
      </c>
      <c r="C57" t="s">
        <v>41</v>
      </c>
      <c r="D57">
        <v>157</v>
      </c>
      <c r="E57" s="17" t="s">
        <v>33</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94</v>
      </c>
      <c r="C58" t="s">
        <v>49</v>
      </c>
      <c r="D58">
        <v>59</v>
      </c>
      <c r="E58" s="17" t="s">
        <v>17</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95</v>
      </c>
      <c r="C59" t="s">
        <v>50</v>
      </c>
      <c r="D59">
        <v>83</v>
      </c>
      <c r="E59" s="17" t="s">
        <v>33</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96</v>
      </c>
      <c r="C60" t="s">
        <v>41</v>
      </c>
      <c r="D60">
        <v>58</v>
      </c>
      <c r="E60" s="17" t="s">
        <v>27</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97</v>
      </c>
      <c r="C61" t="s">
        <v>54</v>
      </c>
      <c r="D61">
        <v>118</v>
      </c>
      <c r="E61" s="17" t="s">
        <v>27</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98</v>
      </c>
      <c r="C62" t="s">
        <v>32</v>
      </c>
      <c r="D62">
        <v>63</v>
      </c>
      <c r="E62" s="17" t="s">
        <v>17</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99</v>
      </c>
      <c r="C63" t="s">
        <v>41</v>
      </c>
      <c r="D63">
        <v>95</v>
      </c>
      <c r="E63" s="17" t="s">
        <v>27</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100</v>
      </c>
      <c r="C64" t="s">
        <v>49</v>
      </c>
      <c r="D64">
        <v>74</v>
      </c>
      <c r="E64" s="17" t="s">
        <v>33</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101</v>
      </c>
      <c r="C65" t="s">
        <v>45</v>
      </c>
      <c r="D65">
        <v>130</v>
      </c>
      <c r="E65" s="17" t="s">
        <v>40</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102</v>
      </c>
      <c r="C66" t="s">
        <v>54</v>
      </c>
      <c r="D66">
        <v>110</v>
      </c>
      <c r="E66" s="17" t="s">
        <v>46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103</v>
      </c>
      <c r="C67" t="s">
        <v>49</v>
      </c>
      <c r="D67">
        <v>71</v>
      </c>
      <c r="E67" s="17" t="s">
        <v>17</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104</v>
      </c>
      <c r="C68" t="s">
        <v>18</v>
      </c>
      <c r="D68">
        <v>147</v>
      </c>
      <c r="E68" s="17" t="s">
        <v>40</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105</v>
      </c>
      <c r="C69" t="s">
        <v>22</v>
      </c>
      <c r="D69">
        <v>69</v>
      </c>
      <c r="E69" s="17" t="s">
        <v>27</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106</v>
      </c>
      <c r="C70" t="s">
        <v>54</v>
      </c>
      <c r="D70">
        <v>50</v>
      </c>
      <c r="E70" s="17" t="s">
        <v>17</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107</v>
      </c>
      <c r="C71" t="s">
        <v>45</v>
      </c>
      <c r="D71">
        <v>124</v>
      </c>
      <c r="E71" s="17" t="s">
        <v>40</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108</v>
      </c>
      <c r="C72" t="s">
        <v>26</v>
      </c>
      <c r="D72">
        <v>81</v>
      </c>
      <c r="E72" s="17" t="s">
        <v>33</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109</v>
      </c>
      <c r="C73" t="s">
        <v>35</v>
      </c>
      <c r="D73">
        <v>141</v>
      </c>
      <c r="E73" s="17" t="s">
        <v>46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110</v>
      </c>
      <c r="C74" t="s">
        <v>35</v>
      </c>
      <c r="D74">
        <v>168</v>
      </c>
      <c r="E74" s="17" t="s">
        <v>46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111</v>
      </c>
      <c r="C75" t="s">
        <v>18</v>
      </c>
      <c r="D75">
        <v>101</v>
      </c>
      <c r="E75" s="17" t="s">
        <v>33</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112</v>
      </c>
      <c r="C76" t="s">
        <v>49</v>
      </c>
      <c r="D76">
        <v>67</v>
      </c>
      <c r="E76" s="17" t="s">
        <v>33</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113</v>
      </c>
      <c r="C77" t="s">
        <v>41</v>
      </c>
      <c r="D77">
        <v>114</v>
      </c>
      <c r="E77" s="17" t="s">
        <v>46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114</v>
      </c>
      <c r="C78" t="s">
        <v>26</v>
      </c>
      <c r="D78">
        <v>42</v>
      </c>
      <c r="E78" s="17" t="s">
        <v>33</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115</v>
      </c>
      <c r="C79" t="s">
        <v>32</v>
      </c>
      <c r="D79">
        <v>69</v>
      </c>
      <c r="E79" s="17" t="s">
        <v>46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116</v>
      </c>
      <c r="C80" t="s">
        <v>45</v>
      </c>
      <c r="D80">
        <v>145</v>
      </c>
      <c r="E80" s="17" t="s">
        <v>27</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117</v>
      </c>
      <c r="C81" t="s">
        <v>22</v>
      </c>
      <c r="D81">
        <v>43</v>
      </c>
      <c r="E81" s="17" t="s">
        <v>46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118</v>
      </c>
      <c r="C82" t="s">
        <v>32</v>
      </c>
      <c r="D82">
        <v>62</v>
      </c>
      <c r="E82" s="17" t="s">
        <v>17</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119</v>
      </c>
      <c r="C83" t="s">
        <v>43</v>
      </c>
      <c r="D83">
        <v>79</v>
      </c>
      <c r="E83" s="17" t="s">
        <v>46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120</v>
      </c>
      <c r="C84" t="s">
        <v>45</v>
      </c>
      <c r="D84">
        <v>45</v>
      </c>
      <c r="E84" s="17" t="s">
        <v>40</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121</v>
      </c>
      <c r="C85" t="s">
        <v>32</v>
      </c>
      <c r="D85">
        <v>137</v>
      </c>
      <c r="E85" s="17" t="s">
        <v>46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122</v>
      </c>
      <c r="C86" t="s">
        <v>41</v>
      </c>
      <c r="D86">
        <v>109</v>
      </c>
      <c r="E86" s="17" t="s">
        <v>17</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123</v>
      </c>
      <c r="C87" t="s">
        <v>22</v>
      </c>
      <c r="D87">
        <v>78</v>
      </c>
      <c r="E87" s="17" t="s">
        <v>17</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124</v>
      </c>
      <c r="C88" t="s">
        <v>32</v>
      </c>
      <c r="D88">
        <v>137</v>
      </c>
      <c r="E88" s="17" t="s">
        <v>40</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125</v>
      </c>
      <c r="C89" t="s">
        <v>30</v>
      </c>
      <c r="D89">
        <v>99</v>
      </c>
      <c r="E89" s="17" t="s">
        <v>17</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126</v>
      </c>
      <c r="C90" t="s">
        <v>54</v>
      </c>
      <c r="D90">
        <v>100</v>
      </c>
      <c r="E90" s="17" t="s">
        <v>17</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127</v>
      </c>
      <c r="C91" t="s">
        <v>22</v>
      </c>
      <c r="D91">
        <v>47</v>
      </c>
      <c r="E91" s="17" t="s">
        <v>27</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128</v>
      </c>
      <c r="C92" t="s">
        <v>41</v>
      </c>
      <c r="D92">
        <v>87</v>
      </c>
      <c r="E92" s="17" t="s">
        <v>33</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129</v>
      </c>
      <c r="C93" t="s">
        <v>30</v>
      </c>
      <c r="D93">
        <v>143</v>
      </c>
      <c r="E93" s="17" t="s">
        <v>33</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130</v>
      </c>
      <c r="C94" t="s">
        <v>54</v>
      </c>
      <c r="D94">
        <v>84</v>
      </c>
      <c r="E94" s="17" t="s">
        <v>17</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131</v>
      </c>
      <c r="C95" t="s">
        <v>18</v>
      </c>
      <c r="D95">
        <v>55</v>
      </c>
      <c r="E95" s="17" t="s">
        <v>33</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132</v>
      </c>
      <c r="C96" t="s">
        <v>37</v>
      </c>
      <c r="D96">
        <v>135</v>
      </c>
      <c r="E96" s="17" t="s">
        <v>40</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133</v>
      </c>
      <c r="C97" t="s">
        <v>50</v>
      </c>
      <c r="D97">
        <v>152</v>
      </c>
      <c r="E97" s="17" t="s">
        <v>27</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134</v>
      </c>
      <c r="C98" t="s">
        <v>26</v>
      </c>
      <c r="D98">
        <v>132</v>
      </c>
      <c r="E98" s="17" t="s">
        <v>27</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135</v>
      </c>
      <c r="C99" t="s">
        <v>35</v>
      </c>
      <c r="D99">
        <v>60</v>
      </c>
      <c r="E99" s="17" t="s">
        <v>17</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136</v>
      </c>
      <c r="C100" t="s">
        <v>50</v>
      </c>
      <c r="D100">
        <v>95</v>
      </c>
      <c r="E100" s="17" t="s">
        <v>27</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137</v>
      </c>
      <c r="C101" t="s">
        <v>16</v>
      </c>
      <c r="D101">
        <v>96</v>
      </c>
      <c r="E101" s="17" t="s">
        <v>46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138</v>
      </c>
      <c r="C102" t="s">
        <v>18</v>
      </c>
      <c r="D102">
        <v>45</v>
      </c>
      <c r="E102" s="17" t="s">
        <v>17</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139</v>
      </c>
      <c r="C103" t="s">
        <v>16</v>
      </c>
      <c r="D103">
        <v>132</v>
      </c>
      <c r="E103" s="17" t="s">
        <v>46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140</v>
      </c>
      <c r="C104" t="s">
        <v>49</v>
      </c>
      <c r="D104">
        <v>95</v>
      </c>
      <c r="E104" s="17" t="s">
        <v>17</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141</v>
      </c>
      <c r="C105" t="s">
        <v>50</v>
      </c>
      <c r="D105">
        <v>131</v>
      </c>
      <c r="E105" s="17" t="s">
        <v>33</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142</v>
      </c>
      <c r="C106" t="s">
        <v>43</v>
      </c>
      <c r="D106">
        <v>67</v>
      </c>
      <c r="E106" s="17" t="s">
        <v>40</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143</v>
      </c>
      <c r="C107" t="s">
        <v>30</v>
      </c>
      <c r="D107">
        <v>111</v>
      </c>
      <c r="E107" s="17" t="s">
        <v>33</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144</v>
      </c>
      <c r="C108" t="s">
        <v>26</v>
      </c>
      <c r="D108">
        <v>78</v>
      </c>
      <c r="E108" s="17" t="s">
        <v>27</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145</v>
      </c>
      <c r="C109" t="s">
        <v>23</v>
      </c>
      <c r="D109">
        <v>28</v>
      </c>
      <c r="E109" s="17" t="s">
        <v>46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146</v>
      </c>
      <c r="C110" t="s">
        <v>22</v>
      </c>
      <c r="D110">
        <v>127</v>
      </c>
      <c r="E110" s="17" t="s">
        <v>40</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147</v>
      </c>
      <c r="C111" t="s">
        <v>54</v>
      </c>
      <c r="D111">
        <v>137</v>
      </c>
      <c r="E111" s="17" t="s">
        <v>33</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148</v>
      </c>
      <c r="C112" t="s">
        <v>22</v>
      </c>
      <c r="D112">
        <v>76</v>
      </c>
      <c r="E112" s="17" t="s">
        <v>46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149</v>
      </c>
      <c r="C113" t="s">
        <v>26</v>
      </c>
      <c r="D113">
        <v>80</v>
      </c>
      <c r="E113" s="17" t="s">
        <v>40</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150</v>
      </c>
      <c r="C114" t="s">
        <v>22</v>
      </c>
      <c r="D114">
        <v>95</v>
      </c>
      <c r="E114" s="17" t="s">
        <v>27</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151</v>
      </c>
      <c r="C115" t="s">
        <v>35</v>
      </c>
      <c r="D115">
        <v>30</v>
      </c>
      <c r="E115" s="17" t="s">
        <v>46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152</v>
      </c>
      <c r="C116" t="s">
        <v>32</v>
      </c>
      <c r="D116">
        <v>19</v>
      </c>
      <c r="E116" s="17" t="s">
        <v>33</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153</v>
      </c>
      <c r="C117" t="s">
        <v>45</v>
      </c>
      <c r="D117">
        <v>38</v>
      </c>
      <c r="E117" s="17" t="s">
        <v>40</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154</v>
      </c>
      <c r="C118" t="s">
        <v>49</v>
      </c>
      <c r="D118">
        <v>55</v>
      </c>
      <c r="E118" s="17" t="s">
        <v>33</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155</v>
      </c>
      <c r="C119" t="s">
        <v>43</v>
      </c>
      <c r="D119">
        <v>27</v>
      </c>
      <c r="E119" s="17" t="s">
        <v>46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156</v>
      </c>
      <c r="C120" t="s">
        <v>43</v>
      </c>
      <c r="D120">
        <v>32</v>
      </c>
      <c r="E120" s="17" t="s">
        <v>46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157</v>
      </c>
      <c r="C121" t="s">
        <v>23</v>
      </c>
      <c r="D121">
        <v>116</v>
      </c>
      <c r="E121" s="17" t="s">
        <v>17</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158</v>
      </c>
      <c r="C122" t="s">
        <v>16</v>
      </c>
      <c r="D122">
        <v>99</v>
      </c>
      <c r="E122" s="17" t="s">
        <v>27</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159</v>
      </c>
      <c r="C123" t="s">
        <v>22</v>
      </c>
      <c r="D123">
        <v>75</v>
      </c>
      <c r="E123" s="17" t="s">
        <v>46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160</v>
      </c>
      <c r="C124" t="s">
        <v>26</v>
      </c>
      <c r="D124">
        <v>57</v>
      </c>
      <c r="E124" s="17" t="s">
        <v>17</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161</v>
      </c>
      <c r="C125" t="s">
        <v>37</v>
      </c>
      <c r="D125">
        <v>155</v>
      </c>
      <c r="E125" s="17" t="s">
        <v>17</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162</v>
      </c>
      <c r="C126" t="s">
        <v>16</v>
      </c>
      <c r="D126">
        <v>68</v>
      </c>
      <c r="E126" s="17" t="s">
        <v>27</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163</v>
      </c>
      <c r="C127" t="s">
        <v>45</v>
      </c>
      <c r="D127">
        <v>95</v>
      </c>
      <c r="E127" s="17" t="s">
        <v>27</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164</v>
      </c>
      <c r="C128" t="s">
        <v>54</v>
      </c>
      <c r="D128">
        <v>65</v>
      </c>
      <c r="E128" s="17" t="s">
        <v>17</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165</v>
      </c>
      <c r="C129" t="s">
        <v>32</v>
      </c>
      <c r="D129">
        <v>114</v>
      </c>
      <c r="E129" s="17" t="s">
        <v>33</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166</v>
      </c>
      <c r="C130" t="s">
        <v>22</v>
      </c>
      <c r="D130">
        <v>155</v>
      </c>
      <c r="E130" s="17" t="s">
        <v>33</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167</v>
      </c>
      <c r="C131" t="s">
        <v>54</v>
      </c>
      <c r="D131">
        <v>114</v>
      </c>
      <c r="E131" s="17" t="s">
        <v>17</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168</v>
      </c>
      <c r="C132" t="s">
        <v>37</v>
      </c>
      <c r="D132">
        <v>130</v>
      </c>
      <c r="E132" s="17" t="s">
        <v>40</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169</v>
      </c>
      <c r="C133" t="s">
        <v>22</v>
      </c>
      <c r="D133">
        <v>89</v>
      </c>
      <c r="E133" s="17" t="s">
        <v>17</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170</v>
      </c>
      <c r="C134" t="s">
        <v>18</v>
      </c>
      <c r="D134">
        <v>61</v>
      </c>
      <c r="E134" s="17" t="s">
        <v>46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171</v>
      </c>
      <c r="C135" t="s">
        <v>45</v>
      </c>
      <c r="D135">
        <v>154</v>
      </c>
      <c r="E135" s="17" t="s">
        <v>33</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172</v>
      </c>
      <c r="C136" t="s">
        <v>54</v>
      </c>
      <c r="D136">
        <v>115</v>
      </c>
      <c r="E136" s="17" t="s">
        <v>40</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173</v>
      </c>
      <c r="C137" t="s">
        <v>41</v>
      </c>
      <c r="D137">
        <v>138</v>
      </c>
      <c r="E137" s="17" t="s">
        <v>27</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174</v>
      </c>
      <c r="C138" t="s">
        <v>30</v>
      </c>
      <c r="D138">
        <v>153</v>
      </c>
      <c r="E138" s="17" t="s">
        <v>17</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175</v>
      </c>
      <c r="C139" t="s">
        <v>54</v>
      </c>
      <c r="D139">
        <v>61</v>
      </c>
      <c r="E139" s="17" t="s">
        <v>46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176</v>
      </c>
      <c r="C140" t="s">
        <v>43</v>
      </c>
      <c r="D140">
        <v>62</v>
      </c>
      <c r="E140" s="17" t="s">
        <v>17</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177</v>
      </c>
      <c r="C141" t="s">
        <v>18</v>
      </c>
      <c r="D141">
        <v>151</v>
      </c>
      <c r="E141" s="17" t="s">
        <v>40</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178</v>
      </c>
      <c r="C142" t="s">
        <v>50</v>
      </c>
      <c r="D142">
        <v>102</v>
      </c>
      <c r="E142" s="17" t="s">
        <v>33</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179</v>
      </c>
      <c r="C143" t="s">
        <v>35</v>
      </c>
      <c r="D143">
        <v>64</v>
      </c>
      <c r="E143" s="17" t="s">
        <v>17</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180</v>
      </c>
      <c r="C144" t="s">
        <v>22</v>
      </c>
      <c r="D144">
        <v>6</v>
      </c>
      <c r="E144" s="17" t="s">
        <v>33</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181</v>
      </c>
      <c r="C145" t="s">
        <v>35</v>
      </c>
      <c r="D145">
        <v>129</v>
      </c>
      <c r="E145" s="17" t="s">
        <v>17</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182</v>
      </c>
      <c r="C146" t="s">
        <v>43</v>
      </c>
      <c r="D146">
        <v>42</v>
      </c>
      <c r="E146" s="17" t="s">
        <v>40</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183</v>
      </c>
      <c r="C147" t="s">
        <v>43</v>
      </c>
      <c r="D147">
        <v>71</v>
      </c>
      <c r="E147" s="17" t="s">
        <v>46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184</v>
      </c>
      <c r="C148" t="s">
        <v>26</v>
      </c>
      <c r="D148">
        <v>53</v>
      </c>
      <c r="E148" s="17" t="s">
        <v>33</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185</v>
      </c>
      <c r="C149" t="s">
        <v>32</v>
      </c>
      <c r="D149">
        <v>155</v>
      </c>
      <c r="E149" s="17" t="s">
        <v>46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186</v>
      </c>
      <c r="C150" t="s">
        <v>32</v>
      </c>
      <c r="D150">
        <v>90</v>
      </c>
      <c r="E150" s="17" t="s">
        <v>40</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187</v>
      </c>
      <c r="C151" t="s">
        <v>35</v>
      </c>
      <c r="D151">
        <v>166</v>
      </c>
      <c r="E151" s="17" t="s">
        <v>27</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188</v>
      </c>
      <c r="C152" t="s">
        <v>23</v>
      </c>
      <c r="D152">
        <v>89</v>
      </c>
      <c r="E152" s="17" t="s">
        <v>46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189</v>
      </c>
      <c r="C153" t="s">
        <v>54</v>
      </c>
      <c r="D153">
        <v>152</v>
      </c>
      <c r="E153" s="17" t="s">
        <v>33</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190</v>
      </c>
      <c r="C154" t="s">
        <v>23</v>
      </c>
      <c r="D154">
        <v>137</v>
      </c>
      <c r="E154" s="17" t="s">
        <v>40</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191</v>
      </c>
      <c r="C155" t="s">
        <v>23</v>
      </c>
      <c r="D155">
        <v>43</v>
      </c>
      <c r="E155" s="17" t="s">
        <v>40</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192</v>
      </c>
      <c r="C156" t="s">
        <v>45</v>
      </c>
      <c r="D156">
        <v>114</v>
      </c>
      <c r="E156" s="17" t="s">
        <v>40</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193</v>
      </c>
      <c r="C157" t="s">
        <v>30</v>
      </c>
      <c r="D157">
        <v>103</v>
      </c>
      <c r="E157" s="17" t="s">
        <v>46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194</v>
      </c>
      <c r="C158" t="s">
        <v>23</v>
      </c>
      <c r="D158">
        <v>98</v>
      </c>
      <c r="E158" s="17" t="s">
        <v>33</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195</v>
      </c>
      <c r="C159" t="s">
        <v>35</v>
      </c>
      <c r="D159">
        <v>106</v>
      </c>
      <c r="E159" s="17" t="s">
        <v>27</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196</v>
      </c>
      <c r="C160" t="s">
        <v>22</v>
      </c>
      <c r="D160">
        <v>96</v>
      </c>
      <c r="E160" s="17" t="s">
        <v>27</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197</v>
      </c>
      <c r="C161" t="s">
        <v>30</v>
      </c>
      <c r="D161">
        <v>70</v>
      </c>
      <c r="E161" s="17" t="s">
        <v>27</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198</v>
      </c>
      <c r="C162" t="s">
        <v>43</v>
      </c>
      <c r="D162">
        <v>86</v>
      </c>
      <c r="E162" s="17" t="s">
        <v>17</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199</v>
      </c>
      <c r="C163" t="s">
        <v>26</v>
      </c>
      <c r="D163">
        <v>64</v>
      </c>
      <c r="E163" s="17" t="s">
        <v>17</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200</v>
      </c>
      <c r="C164" t="s">
        <v>22</v>
      </c>
      <c r="D164">
        <v>113</v>
      </c>
      <c r="E164" s="17" t="s">
        <v>33</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201</v>
      </c>
      <c r="C165" t="s">
        <v>22</v>
      </c>
      <c r="D165">
        <v>21</v>
      </c>
      <c r="E165" s="17" t="s">
        <v>27</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202</v>
      </c>
      <c r="C166" t="s">
        <v>50</v>
      </c>
      <c r="D166">
        <v>107</v>
      </c>
      <c r="E166" s="17" t="s">
        <v>17</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203</v>
      </c>
      <c r="C167" t="s">
        <v>50</v>
      </c>
      <c r="D167">
        <v>131</v>
      </c>
      <c r="E167" s="17" t="s">
        <v>27</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204</v>
      </c>
      <c r="C168" t="s">
        <v>16</v>
      </c>
      <c r="D168">
        <v>11</v>
      </c>
      <c r="E168" s="17" t="s">
        <v>46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205</v>
      </c>
      <c r="C169" t="s">
        <v>18</v>
      </c>
      <c r="D169">
        <v>86</v>
      </c>
      <c r="E169" s="17" t="s">
        <v>33</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206</v>
      </c>
      <c r="C170" t="s">
        <v>26</v>
      </c>
      <c r="D170">
        <v>28</v>
      </c>
      <c r="E170" s="17" t="s">
        <v>46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207</v>
      </c>
      <c r="C171" t="s">
        <v>32</v>
      </c>
      <c r="D171">
        <v>139</v>
      </c>
      <c r="E171" s="17" t="s">
        <v>27</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208</v>
      </c>
      <c r="C172" t="s">
        <v>35</v>
      </c>
      <c r="D172">
        <v>82</v>
      </c>
      <c r="E172" s="17" t="s">
        <v>33</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209</v>
      </c>
      <c r="C173" t="s">
        <v>22</v>
      </c>
      <c r="D173">
        <v>101</v>
      </c>
      <c r="E173" s="17" t="s">
        <v>46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210</v>
      </c>
      <c r="C174" t="s">
        <v>26</v>
      </c>
      <c r="D174">
        <v>75</v>
      </c>
      <c r="E174" s="17" t="s">
        <v>40</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211</v>
      </c>
      <c r="C175" t="s">
        <v>45</v>
      </c>
      <c r="D175">
        <v>40</v>
      </c>
      <c r="E175" s="17" t="s">
        <v>46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212</v>
      </c>
      <c r="C176" t="s">
        <v>23</v>
      </c>
      <c r="D176">
        <v>86</v>
      </c>
      <c r="E176" s="17" t="s">
        <v>27</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213</v>
      </c>
      <c r="C177" t="s">
        <v>37</v>
      </c>
      <c r="D177">
        <v>131</v>
      </c>
      <c r="E177" s="17" t="s">
        <v>17</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214</v>
      </c>
      <c r="C178" t="s">
        <v>50</v>
      </c>
      <c r="D178">
        <v>67</v>
      </c>
      <c r="E178" s="17" t="s">
        <v>33</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215</v>
      </c>
      <c r="C179" t="s">
        <v>41</v>
      </c>
      <c r="D179">
        <v>71</v>
      </c>
      <c r="E179" s="17" t="s">
        <v>46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216</v>
      </c>
      <c r="C180" t="s">
        <v>37</v>
      </c>
      <c r="D180">
        <v>113</v>
      </c>
      <c r="E180" s="17" t="s">
        <v>17</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217</v>
      </c>
      <c r="C181" t="s">
        <v>35</v>
      </c>
      <c r="D181">
        <v>53</v>
      </c>
      <c r="E181" s="17" t="s">
        <v>27</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218</v>
      </c>
      <c r="C182" t="s">
        <v>37</v>
      </c>
      <c r="D182">
        <v>153</v>
      </c>
      <c r="E182" s="17" t="s">
        <v>33</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219</v>
      </c>
      <c r="C183" t="s">
        <v>50</v>
      </c>
      <c r="D183">
        <v>73</v>
      </c>
      <c r="E183" s="17" t="s">
        <v>40</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220</v>
      </c>
      <c r="C184" t="s">
        <v>43</v>
      </c>
      <c r="D184">
        <v>62</v>
      </c>
      <c r="E184" s="17" t="s">
        <v>40</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221</v>
      </c>
      <c r="C185" t="s">
        <v>32</v>
      </c>
      <c r="D185">
        <v>115</v>
      </c>
      <c r="E185" s="17" t="s">
        <v>27</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222</v>
      </c>
      <c r="C186" t="s">
        <v>37</v>
      </c>
      <c r="D186">
        <v>69</v>
      </c>
      <c r="E186" s="17" t="s">
        <v>27</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223</v>
      </c>
      <c r="C187" t="s">
        <v>23</v>
      </c>
      <c r="D187">
        <v>103</v>
      </c>
      <c r="E187" s="17" t="s">
        <v>17</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224</v>
      </c>
      <c r="C188" t="s">
        <v>23</v>
      </c>
      <c r="D188">
        <v>75</v>
      </c>
      <c r="E188" s="17" t="s">
        <v>17</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225</v>
      </c>
      <c r="C189" t="s">
        <v>49</v>
      </c>
      <c r="D189">
        <v>92</v>
      </c>
      <c r="E189" s="17" t="s">
        <v>17</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226</v>
      </c>
      <c r="C190" t="s">
        <v>49</v>
      </c>
      <c r="D190">
        <v>41</v>
      </c>
      <c r="E190" s="17" t="s">
        <v>40</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227</v>
      </c>
      <c r="C191" t="s">
        <v>23</v>
      </c>
      <c r="D191">
        <v>134</v>
      </c>
      <c r="E191" s="17" t="s">
        <v>33</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228</v>
      </c>
      <c r="C192" t="s">
        <v>18</v>
      </c>
      <c r="D192">
        <v>80</v>
      </c>
      <c r="E192" s="17" t="s">
        <v>46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229</v>
      </c>
      <c r="C193" t="s">
        <v>41</v>
      </c>
      <c r="D193">
        <v>103</v>
      </c>
      <c r="E193" s="17" t="s">
        <v>27</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230</v>
      </c>
      <c r="C194" t="s">
        <v>35</v>
      </c>
      <c r="D194">
        <v>20</v>
      </c>
      <c r="E194" s="17" t="s">
        <v>17</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231</v>
      </c>
      <c r="C195" t="s">
        <v>41</v>
      </c>
      <c r="D195">
        <v>75</v>
      </c>
      <c r="E195" s="17" t="s">
        <v>46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232</v>
      </c>
      <c r="C196" t="s">
        <v>49</v>
      </c>
      <c r="D196">
        <v>80</v>
      </c>
      <c r="E196" s="17" t="s">
        <v>33</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233</v>
      </c>
      <c r="C197" t="s">
        <v>37</v>
      </c>
      <c r="D197">
        <v>85</v>
      </c>
      <c r="E197" s="17" t="s">
        <v>40</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234</v>
      </c>
      <c r="C198" t="s">
        <v>22</v>
      </c>
      <c r="D198">
        <v>155</v>
      </c>
      <c r="E198" s="17" t="s">
        <v>17</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235</v>
      </c>
      <c r="C199" t="s">
        <v>37</v>
      </c>
      <c r="D199">
        <v>63</v>
      </c>
      <c r="E199" s="17" t="s">
        <v>40</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236</v>
      </c>
      <c r="C200" t="s">
        <v>26</v>
      </c>
      <c r="D200">
        <v>105</v>
      </c>
      <c r="E200" s="17" t="s">
        <v>27</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237</v>
      </c>
      <c r="C201" t="s">
        <v>37</v>
      </c>
      <c r="D201">
        <v>71</v>
      </c>
      <c r="E201" s="17" t="s">
        <v>40</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238</v>
      </c>
      <c r="C202" t="s">
        <v>22</v>
      </c>
      <c r="D202">
        <v>100</v>
      </c>
      <c r="E202" s="17" t="s">
        <v>40</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239</v>
      </c>
      <c r="C203" t="s">
        <v>16</v>
      </c>
      <c r="D203">
        <v>93</v>
      </c>
      <c r="E203" s="17" t="s">
        <v>33</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240</v>
      </c>
      <c r="C204" t="s">
        <v>26</v>
      </c>
      <c r="D204">
        <v>84</v>
      </c>
      <c r="E204" s="17" t="s">
        <v>17</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241</v>
      </c>
      <c r="C205" t="s">
        <v>18</v>
      </c>
      <c r="D205">
        <v>56</v>
      </c>
      <c r="E205" s="17" t="s">
        <v>46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242</v>
      </c>
      <c r="C206" t="s">
        <v>18</v>
      </c>
      <c r="D206">
        <v>63</v>
      </c>
      <c r="E206" s="17" t="s">
        <v>40</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243</v>
      </c>
      <c r="C207" t="s">
        <v>43</v>
      </c>
      <c r="D207">
        <v>83</v>
      </c>
      <c r="E207" s="17" t="s">
        <v>40</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244</v>
      </c>
      <c r="C208" t="s">
        <v>49</v>
      </c>
      <c r="D208">
        <v>134</v>
      </c>
      <c r="E208" s="17" t="s">
        <v>17</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245</v>
      </c>
      <c r="C209" t="s">
        <v>32</v>
      </c>
      <c r="D209">
        <v>73</v>
      </c>
      <c r="E209" s="17" t="s">
        <v>40</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246</v>
      </c>
      <c r="C210" t="s">
        <v>41</v>
      </c>
      <c r="D210">
        <v>6</v>
      </c>
      <c r="E210" s="17" t="s">
        <v>46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247</v>
      </c>
      <c r="C211" t="s">
        <v>50</v>
      </c>
      <c r="D211">
        <v>46</v>
      </c>
      <c r="E211" s="17" t="s">
        <v>27</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248</v>
      </c>
      <c r="C212" t="s">
        <v>41</v>
      </c>
      <c r="D212">
        <v>121</v>
      </c>
      <c r="E212" s="17" t="s">
        <v>40</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249</v>
      </c>
      <c r="C213" t="s">
        <v>18</v>
      </c>
      <c r="D213">
        <v>61</v>
      </c>
      <c r="E213" s="17" t="s">
        <v>33</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250</v>
      </c>
      <c r="C214" t="s">
        <v>49</v>
      </c>
      <c r="D214">
        <v>144</v>
      </c>
      <c r="E214" s="17" t="s">
        <v>17</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251</v>
      </c>
      <c r="C215" t="s">
        <v>50</v>
      </c>
      <c r="D215">
        <v>145</v>
      </c>
      <c r="E215" s="17" t="s">
        <v>17</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252</v>
      </c>
      <c r="C216" t="s">
        <v>26</v>
      </c>
      <c r="D216">
        <v>85</v>
      </c>
      <c r="E216" s="17" t="s">
        <v>46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253</v>
      </c>
      <c r="C217" t="s">
        <v>50</v>
      </c>
      <c r="D217">
        <v>13</v>
      </c>
      <c r="E217" s="17" t="s">
        <v>33</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254</v>
      </c>
      <c r="C218" t="s">
        <v>16</v>
      </c>
      <c r="D218">
        <v>142</v>
      </c>
      <c r="E218" s="17" t="s">
        <v>40</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255</v>
      </c>
      <c r="C219" t="s">
        <v>49</v>
      </c>
      <c r="D219">
        <v>28</v>
      </c>
      <c r="E219" s="17" t="s">
        <v>27</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256</v>
      </c>
      <c r="C220" t="s">
        <v>49</v>
      </c>
      <c r="D220">
        <v>119</v>
      </c>
      <c r="E220" s="17" t="s">
        <v>40</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257</v>
      </c>
      <c r="C221" t="s">
        <v>41</v>
      </c>
      <c r="D221">
        <v>65</v>
      </c>
      <c r="E221" s="17" t="s">
        <v>46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258</v>
      </c>
      <c r="C222" t="s">
        <v>23</v>
      </c>
      <c r="D222">
        <v>68</v>
      </c>
      <c r="E222" s="17" t="s">
        <v>46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259</v>
      </c>
      <c r="C223" t="s">
        <v>43</v>
      </c>
      <c r="D223">
        <v>72</v>
      </c>
      <c r="E223" s="17" t="s">
        <v>27</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260</v>
      </c>
      <c r="C224" t="s">
        <v>43</v>
      </c>
      <c r="D224">
        <v>63</v>
      </c>
      <c r="E224" s="17" t="s">
        <v>17</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261</v>
      </c>
      <c r="C225" t="s">
        <v>22</v>
      </c>
      <c r="D225">
        <v>139</v>
      </c>
      <c r="E225" s="17" t="s">
        <v>40</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262</v>
      </c>
      <c r="C226" t="s">
        <v>49</v>
      </c>
      <c r="D226">
        <v>59</v>
      </c>
      <c r="E226" s="17" t="s">
        <v>40</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263</v>
      </c>
      <c r="C227" t="s">
        <v>35</v>
      </c>
      <c r="D227">
        <v>138</v>
      </c>
      <c r="E227" s="17" t="s">
        <v>17</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264</v>
      </c>
      <c r="C228" t="s">
        <v>22</v>
      </c>
      <c r="D228">
        <v>47</v>
      </c>
      <c r="E228" s="17" t="s">
        <v>27</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265</v>
      </c>
      <c r="C229" t="s">
        <v>35</v>
      </c>
      <c r="D229">
        <v>74</v>
      </c>
      <c r="E229" s="17" t="s">
        <v>27</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266</v>
      </c>
      <c r="C230" t="s">
        <v>43</v>
      </c>
      <c r="D230">
        <v>65</v>
      </c>
      <c r="E230" s="17" t="s">
        <v>27</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267</v>
      </c>
      <c r="C231" t="s">
        <v>32</v>
      </c>
      <c r="D231">
        <v>123</v>
      </c>
      <c r="E231" s="17" t="s">
        <v>46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268</v>
      </c>
      <c r="C232" t="s">
        <v>43</v>
      </c>
      <c r="D232">
        <v>90</v>
      </c>
      <c r="E232" s="17" t="s">
        <v>40</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269</v>
      </c>
      <c r="C233" t="s">
        <v>18</v>
      </c>
      <c r="D233">
        <v>127</v>
      </c>
      <c r="E233" s="17" t="s">
        <v>17</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270</v>
      </c>
      <c r="C234" t="s">
        <v>30</v>
      </c>
      <c r="D234">
        <v>60</v>
      </c>
      <c r="E234" s="17" t="s">
        <v>27</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271</v>
      </c>
      <c r="C235" t="s">
        <v>22</v>
      </c>
      <c r="D235">
        <v>94</v>
      </c>
      <c r="E235" s="17" t="s">
        <v>17</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272</v>
      </c>
      <c r="C236" t="s">
        <v>32</v>
      </c>
      <c r="D236">
        <v>54</v>
      </c>
      <c r="E236" s="17" t="s">
        <v>27</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273</v>
      </c>
      <c r="C237" t="s">
        <v>43</v>
      </c>
      <c r="D237">
        <v>104</v>
      </c>
      <c r="E237" s="17" t="s">
        <v>27</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274</v>
      </c>
      <c r="C238" t="s">
        <v>37</v>
      </c>
      <c r="D238">
        <v>100</v>
      </c>
      <c r="E238" s="17" t="s">
        <v>27</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275</v>
      </c>
      <c r="C239" t="s">
        <v>35</v>
      </c>
      <c r="D239">
        <v>84</v>
      </c>
      <c r="E239" s="17" t="s">
        <v>27</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276</v>
      </c>
      <c r="C240" t="s">
        <v>16</v>
      </c>
      <c r="D240">
        <v>92</v>
      </c>
      <c r="E240" s="17" t="s">
        <v>33</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277</v>
      </c>
      <c r="C241" t="s">
        <v>45</v>
      </c>
      <c r="D241">
        <v>64</v>
      </c>
      <c r="E241" s="17" t="s">
        <v>17</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278</v>
      </c>
      <c r="C242" t="s">
        <v>26</v>
      </c>
      <c r="D242">
        <v>89</v>
      </c>
      <c r="E242" s="17" t="s">
        <v>40</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279</v>
      </c>
      <c r="C243" t="s">
        <v>54</v>
      </c>
      <c r="D243">
        <v>40</v>
      </c>
      <c r="E243" s="17" t="s">
        <v>27</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280</v>
      </c>
      <c r="C244" t="s">
        <v>49</v>
      </c>
      <c r="D244">
        <v>75</v>
      </c>
      <c r="E244" s="17" t="s">
        <v>46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281</v>
      </c>
      <c r="C245" t="s">
        <v>18</v>
      </c>
      <c r="D245">
        <v>106</v>
      </c>
      <c r="E245" s="17" t="s">
        <v>33</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282</v>
      </c>
      <c r="C246" t="s">
        <v>45</v>
      </c>
      <c r="D246">
        <v>58</v>
      </c>
      <c r="E246" s="17" t="s">
        <v>27</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283</v>
      </c>
      <c r="C247" t="s">
        <v>35</v>
      </c>
      <c r="D247">
        <v>84</v>
      </c>
      <c r="E247" s="17" t="s">
        <v>33</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284</v>
      </c>
      <c r="C248" t="s">
        <v>43</v>
      </c>
      <c r="D248">
        <v>140</v>
      </c>
      <c r="E248" s="17" t="s">
        <v>33</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285</v>
      </c>
      <c r="C249" t="s">
        <v>45</v>
      </c>
      <c r="D249">
        <v>67</v>
      </c>
      <c r="E249" s="17" t="s">
        <v>33</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286</v>
      </c>
      <c r="C250" t="s">
        <v>22</v>
      </c>
      <c r="D250">
        <v>126</v>
      </c>
      <c r="E250" s="17" t="s">
        <v>33</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287</v>
      </c>
      <c r="C251" t="s">
        <v>22</v>
      </c>
      <c r="D251">
        <v>89</v>
      </c>
      <c r="E251" s="17" t="s">
        <v>27</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288</v>
      </c>
      <c r="C252" t="s">
        <v>26</v>
      </c>
      <c r="D252">
        <v>56</v>
      </c>
      <c r="E252" s="17" t="s">
        <v>17</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289</v>
      </c>
      <c r="C253" t="s">
        <v>32</v>
      </c>
      <c r="D253">
        <v>48</v>
      </c>
      <c r="E253" s="17" t="s">
        <v>27</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290</v>
      </c>
      <c r="C254" t="s">
        <v>22</v>
      </c>
      <c r="D254">
        <v>55</v>
      </c>
      <c r="E254" s="17" t="s">
        <v>17</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291</v>
      </c>
      <c r="C255" t="s">
        <v>30</v>
      </c>
      <c r="D255">
        <v>88</v>
      </c>
      <c r="E255" s="17" t="s">
        <v>46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292</v>
      </c>
      <c r="C256" t="s">
        <v>26</v>
      </c>
      <c r="D256">
        <v>102</v>
      </c>
      <c r="E256" s="17" t="s">
        <v>33</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293</v>
      </c>
      <c r="C257" t="s">
        <v>30</v>
      </c>
      <c r="D257">
        <v>155</v>
      </c>
      <c r="E257" s="17" t="s">
        <v>46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294</v>
      </c>
      <c r="C258" t="s">
        <v>22</v>
      </c>
      <c r="D258">
        <v>63</v>
      </c>
      <c r="E258" s="17" t="s">
        <v>46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295</v>
      </c>
      <c r="C259" t="s">
        <v>37</v>
      </c>
      <c r="D259">
        <v>59</v>
      </c>
      <c r="E259" s="17" t="s">
        <v>33</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296</v>
      </c>
      <c r="C260" t="s">
        <v>37</v>
      </c>
      <c r="D260">
        <v>144</v>
      </c>
      <c r="E260" s="17" t="s">
        <v>27</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297</v>
      </c>
      <c r="C261" t="s">
        <v>35</v>
      </c>
      <c r="D261">
        <v>113</v>
      </c>
      <c r="E261" s="17" t="s">
        <v>40</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298</v>
      </c>
      <c r="C262" t="s">
        <v>50</v>
      </c>
      <c r="D262">
        <v>154</v>
      </c>
      <c r="E262" s="17" t="s">
        <v>17</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299</v>
      </c>
      <c r="C263" t="s">
        <v>50</v>
      </c>
      <c r="D263">
        <v>58</v>
      </c>
      <c r="E263" s="17" t="s">
        <v>33</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300</v>
      </c>
      <c r="C264" t="s">
        <v>32</v>
      </c>
      <c r="D264">
        <v>63</v>
      </c>
      <c r="E264" s="17" t="s">
        <v>46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301</v>
      </c>
      <c r="C265" t="s">
        <v>43</v>
      </c>
      <c r="D265">
        <v>59</v>
      </c>
      <c r="E265" s="17" t="s">
        <v>27</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302</v>
      </c>
      <c r="C266" t="s">
        <v>41</v>
      </c>
      <c r="D266">
        <v>129</v>
      </c>
      <c r="E266" s="17" t="s">
        <v>46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303</v>
      </c>
      <c r="C267" t="s">
        <v>23</v>
      </c>
      <c r="D267">
        <v>101</v>
      </c>
      <c r="E267" s="17" t="s">
        <v>40</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304</v>
      </c>
      <c r="C268" t="s">
        <v>54</v>
      </c>
      <c r="D268">
        <v>154</v>
      </c>
      <c r="E268" s="17" t="s">
        <v>27</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305</v>
      </c>
      <c r="C269" t="s">
        <v>45</v>
      </c>
      <c r="D269">
        <v>131</v>
      </c>
      <c r="E269" s="17" t="s">
        <v>27</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306</v>
      </c>
      <c r="C270" t="s">
        <v>37</v>
      </c>
      <c r="D270">
        <v>111</v>
      </c>
      <c r="E270" s="17" t="s">
        <v>40</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307</v>
      </c>
      <c r="C271" t="s">
        <v>50</v>
      </c>
      <c r="D271">
        <v>142</v>
      </c>
      <c r="E271" s="17" t="s">
        <v>40</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308</v>
      </c>
      <c r="C272" t="s">
        <v>26</v>
      </c>
      <c r="D272">
        <v>93</v>
      </c>
      <c r="E272" s="17" t="s">
        <v>46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309</v>
      </c>
      <c r="C273" t="s">
        <v>50</v>
      </c>
      <c r="D273">
        <v>125</v>
      </c>
      <c r="E273" s="17" t="s">
        <v>17</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310</v>
      </c>
      <c r="C274" t="s">
        <v>41</v>
      </c>
      <c r="D274">
        <v>76</v>
      </c>
      <c r="E274" s="17" t="s">
        <v>27</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311</v>
      </c>
      <c r="C275" t="s">
        <v>35</v>
      </c>
      <c r="D275">
        <v>69</v>
      </c>
      <c r="E275" s="17" t="s">
        <v>46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312</v>
      </c>
      <c r="C276" t="s">
        <v>43</v>
      </c>
      <c r="D276">
        <v>149</v>
      </c>
      <c r="E276" s="17" t="s">
        <v>17</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313</v>
      </c>
      <c r="C277" t="s">
        <v>50</v>
      </c>
      <c r="D277">
        <v>57</v>
      </c>
      <c r="E277" s="17" t="s">
        <v>46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314</v>
      </c>
      <c r="C278" t="s">
        <v>22</v>
      </c>
      <c r="D278">
        <v>113</v>
      </c>
      <c r="E278" s="17" t="s">
        <v>27</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315</v>
      </c>
      <c r="C279" t="s">
        <v>16</v>
      </c>
      <c r="D279">
        <v>160</v>
      </c>
      <c r="E279" s="17" t="s">
        <v>17</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316</v>
      </c>
      <c r="C280" t="s">
        <v>32</v>
      </c>
      <c r="D280">
        <v>158</v>
      </c>
      <c r="E280" s="17" t="s">
        <v>33</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317</v>
      </c>
      <c r="C281" t="s">
        <v>35</v>
      </c>
      <c r="D281">
        <v>77</v>
      </c>
      <c r="E281" s="17" t="s">
        <v>17</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318</v>
      </c>
      <c r="C282" t="s">
        <v>49</v>
      </c>
      <c r="D282">
        <v>118</v>
      </c>
      <c r="E282" s="17" t="s">
        <v>40</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319</v>
      </c>
      <c r="C283" t="s">
        <v>54</v>
      </c>
      <c r="D283">
        <v>75</v>
      </c>
      <c r="E283" s="17" t="s">
        <v>27</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320</v>
      </c>
      <c r="C284" t="s">
        <v>22</v>
      </c>
      <c r="D284">
        <v>103</v>
      </c>
      <c r="E284" s="17" t="s">
        <v>17</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321</v>
      </c>
      <c r="C285" t="s">
        <v>35</v>
      </c>
      <c r="D285">
        <v>116</v>
      </c>
      <c r="E285" s="17" t="s">
        <v>40</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322</v>
      </c>
      <c r="C286" t="s">
        <v>37</v>
      </c>
      <c r="D286">
        <v>61</v>
      </c>
      <c r="E286" s="17" t="s">
        <v>33</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323</v>
      </c>
      <c r="C287" t="s">
        <v>50</v>
      </c>
      <c r="D287">
        <v>126</v>
      </c>
      <c r="E287" s="17" t="s">
        <v>27</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324</v>
      </c>
      <c r="C288" t="s">
        <v>23</v>
      </c>
      <c r="D288">
        <v>141</v>
      </c>
      <c r="E288" s="17" t="s">
        <v>46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325</v>
      </c>
      <c r="C289" t="s">
        <v>32</v>
      </c>
      <c r="D289">
        <v>95</v>
      </c>
      <c r="E289" s="17" t="s">
        <v>40</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326</v>
      </c>
      <c r="C290" t="s">
        <v>54</v>
      </c>
      <c r="D290">
        <v>39</v>
      </c>
      <c r="E290" s="17" t="s">
        <v>33</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327</v>
      </c>
      <c r="C291" t="s">
        <v>22</v>
      </c>
      <c r="D291">
        <v>127</v>
      </c>
      <c r="E291" s="17" t="s">
        <v>27</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328</v>
      </c>
      <c r="C292" t="s">
        <v>37</v>
      </c>
      <c r="D292">
        <v>78</v>
      </c>
      <c r="E292" s="17" t="s">
        <v>27</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329</v>
      </c>
      <c r="C293" t="s">
        <v>49</v>
      </c>
      <c r="D293">
        <v>40</v>
      </c>
      <c r="E293" s="17" t="s">
        <v>27</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330</v>
      </c>
      <c r="C294" t="s">
        <v>37</v>
      </c>
      <c r="D294">
        <v>56</v>
      </c>
      <c r="E294" s="17" t="s">
        <v>33</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331</v>
      </c>
      <c r="C295" t="s">
        <v>54</v>
      </c>
      <c r="D295">
        <v>59</v>
      </c>
      <c r="E295" s="17" t="s">
        <v>46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332</v>
      </c>
      <c r="C296" t="s">
        <v>50</v>
      </c>
      <c r="D296">
        <v>30</v>
      </c>
      <c r="E296" s="17" t="s">
        <v>27</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333</v>
      </c>
      <c r="C297" t="s">
        <v>49</v>
      </c>
      <c r="D297">
        <v>63</v>
      </c>
      <c r="E297" s="17" t="s">
        <v>17</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334</v>
      </c>
      <c r="C298" t="s">
        <v>26</v>
      </c>
      <c r="D298">
        <v>56</v>
      </c>
      <c r="E298" s="17" t="s">
        <v>40</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335</v>
      </c>
      <c r="C299" t="s">
        <v>41</v>
      </c>
      <c r="D299">
        <v>95</v>
      </c>
      <c r="E299" s="17" t="s">
        <v>17</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336</v>
      </c>
      <c r="C300" t="s">
        <v>18</v>
      </c>
      <c r="D300">
        <v>128</v>
      </c>
      <c r="E300" s="17" t="s">
        <v>46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337</v>
      </c>
      <c r="C301" t="s">
        <v>32</v>
      </c>
      <c r="D301">
        <v>49</v>
      </c>
      <c r="E301" s="17" t="s">
        <v>17</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338</v>
      </c>
      <c r="C302" t="s">
        <v>18</v>
      </c>
      <c r="D302">
        <v>89</v>
      </c>
      <c r="E302" s="17" t="s">
        <v>33</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339</v>
      </c>
      <c r="C303" t="s">
        <v>43</v>
      </c>
      <c r="D303">
        <v>87</v>
      </c>
      <c r="E303" s="17" t="s">
        <v>17</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340</v>
      </c>
      <c r="C304" t="s">
        <v>16</v>
      </c>
      <c r="D304">
        <v>60</v>
      </c>
      <c r="E304" s="17" t="s">
        <v>27</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341</v>
      </c>
      <c r="C305" t="s">
        <v>30</v>
      </c>
      <c r="D305">
        <v>42</v>
      </c>
      <c r="E305" s="17" t="s">
        <v>33</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342</v>
      </c>
      <c r="C306" t="s">
        <v>45</v>
      </c>
      <c r="D306">
        <v>99</v>
      </c>
      <c r="E306" s="17" t="s">
        <v>27</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343</v>
      </c>
      <c r="C307" t="s">
        <v>26</v>
      </c>
      <c r="D307">
        <v>20</v>
      </c>
      <c r="E307" s="17" t="s">
        <v>33</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344</v>
      </c>
      <c r="C308" t="s">
        <v>49</v>
      </c>
      <c r="D308">
        <v>65</v>
      </c>
      <c r="E308" s="17" t="s">
        <v>27</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345</v>
      </c>
      <c r="C309" t="s">
        <v>50</v>
      </c>
      <c r="D309">
        <v>71</v>
      </c>
      <c r="E309" s="17" t="s">
        <v>17</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346</v>
      </c>
      <c r="C310" t="s">
        <v>22</v>
      </c>
      <c r="D310">
        <v>95</v>
      </c>
      <c r="E310" s="17" t="s">
        <v>46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347</v>
      </c>
      <c r="C311" t="s">
        <v>26</v>
      </c>
      <c r="D311">
        <v>81</v>
      </c>
      <c r="E311" s="17" t="s">
        <v>40</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348</v>
      </c>
      <c r="C312" t="s">
        <v>35</v>
      </c>
      <c r="D312">
        <v>137</v>
      </c>
      <c r="E312" s="17" t="s">
        <v>40</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349</v>
      </c>
      <c r="C313" t="s">
        <v>35</v>
      </c>
      <c r="D313">
        <v>40</v>
      </c>
      <c r="E313" s="17" t="s">
        <v>46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350</v>
      </c>
      <c r="C314" t="s">
        <v>45</v>
      </c>
      <c r="D314">
        <v>111</v>
      </c>
      <c r="E314" s="17" t="s">
        <v>27</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351</v>
      </c>
      <c r="C315" t="s">
        <v>50</v>
      </c>
      <c r="D315">
        <v>106</v>
      </c>
      <c r="E315" s="17" t="s">
        <v>27</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352</v>
      </c>
      <c r="C316" t="s">
        <v>30</v>
      </c>
      <c r="D316">
        <v>133</v>
      </c>
      <c r="E316" s="17" t="s">
        <v>33</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353</v>
      </c>
      <c r="C317" t="s">
        <v>37</v>
      </c>
      <c r="D317">
        <v>38</v>
      </c>
      <c r="E317" s="17" t="s">
        <v>27</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354</v>
      </c>
      <c r="C318" t="s">
        <v>54</v>
      </c>
      <c r="D318">
        <v>130</v>
      </c>
      <c r="E318" s="17" t="s">
        <v>46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355</v>
      </c>
      <c r="C319" t="s">
        <v>49</v>
      </c>
      <c r="D319">
        <v>23</v>
      </c>
      <c r="E319" s="17" t="s">
        <v>33</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356</v>
      </c>
      <c r="C320" t="s">
        <v>54</v>
      </c>
      <c r="D320">
        <v>124</v>
      </c>
      <c r="E320" s="17" t="s">
        <v>27</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357</v>
      </c>
      <c r="C321" t="s">
        <v>26</v>
      </c>
      <c r="D321">
        <v>107</v>
      </c>
      <c r="E321" s="17" t="s">
        <v>27</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358</v>
      </c>
      <c r="C322" t="s">
        <v>35</v>
      </c>
      <c r="D322">
        <v>60</v>
      </c>
      <c r="E322" s="17" t="s">
        <v>17</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359</v>
      </c>
      <c r="C323" t="s">
        <v>35</v>
      </c>
      <c r="D323">
        <v>158</v>
      </c>
      <c r="E323" s="17" t="s">
        <v>46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360</v>
      </c>
      <c r="C324" t="s">
        <v>43</v>
      </c>
      <c r="D324">
        <v>110</v>
      </c>
      <c r="E324" s="17" t="s">
        <v>46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361</v>
      </c>
      <c r="C325" t="s">
        <v>18</v>
      </c>
      <c r="D325">
        <v>70</v>
      </c>
      <c r="E325" s="17" t="s">
        <v>46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362</v>
      </c>
      <c r="C326" t="s">
        <v>18</v>
      </c>
      <c r="D326">
        <v>150</v>
      </c>
      <c r="E326" s="17" t="s">
        <v>17</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363</v>
      </c>
      <c r="C327" t="s">
        <v>37</v>
      </c>
      <c r="D327">
        <v>36</v>
      </c>
      <c r="E327" s="17" t="s">
        <v>27</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364</v>
      </c>
      <c r="C328" t="s">
        <v>54</v>
      </c>
      <c r="D328">
        <v>74</v>
      </c>
      <c r="E328" s="17" t="s">
        <v>27</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365</v>
      </c>
      <c r="C329" t="s">
        <v>22</v>
      </c>
      <c r="D329">
        <v>75</v>
      </c>
      <c r="E329" s="17" t="s">
        <v>27</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366</v>
      </c>
      <c r="C330" t="s">
        <v>41</v>
      </c>
      <c r="D330">
        <v>70</v>
      </c>
      <c r="E330" s="17" t="s">
        <v>40</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367</v>
      </c>
      <c r="C331" t="s">
        <v>43</v>
      </c>
      <c r="D331">
        <v>23</v>
      </c>
      <c r="E331" s="17" t="s">
        <v>46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368</v>
      </c>
      <c r="C332" t="s">
        <v>45</v>
      </c>
      <c r="D332">
        <v>104</v>
      </c>
      <c r="E332" s="17" t="s">
        <v>33</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369</v>
      </c>
      <c r="C333" t="s">
        <v>18</v>
      </c>
      <c r="D333">
        <v>95</v>
      </c>
      <c r="E333" s="17" t="s">
        <v>40</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370</v>
      </c>
      <c r="C334" t="s">
        <v>32</v>
      </c>
      <c r="D334">
        <v>49</v>
      </c>
      <c r="E334" s="17" t="s">
        <v>17</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371</v>
      </c>
      <c r="C335" t="s">
        <v>50</v>
      </c>
      <c r="D335">
        <v>8</v>
      </c>
      <c r="E335" s="17" t="s">
        <v>46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372</v>
      </c>
      <c r="C336" t="s">
        <v>18</v>
      </c>
      <c r="D336">
        <v>157</v>
      </c>
      <c r="E336" s="17" t="s">
        <v>17</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373</v>
      </c>
      <c r="C337" t="s">
        <v>26</v>
      </c>
      <c r="D337">
        <v>74</v>
      </c>
      <c r="E337" s="17" t="s">
        <v>27</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374</v>
      </c>
      <c r="C338" t="s">
        <v>43</v>
      </c>
      <c r="D338">
        <v>72</v>
      </c>
      <c r="E338" s="17" t="s">
        <v>40</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375</v>
      </c>
      <c r="C339" t="s">
        <v>26</v>
      </c>
      <c r="D339">
        <v>79</v>
      </c>
      <c r="E339" s="17" t="s">
        <v>27</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376</v>
      </c>
      <c r="C340" t="s">
        <v>54</v>
      </c>
      <c r="D340">
        <v>23</v>
      </c>
      <c r="E340" s="17" t="s">
        <v>27</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377</v>
      </c>
      <c r="C341" t="s">
        <v>22</v>
      </c>
      <c r="D341">
        <v>69</v>
      </c>
      <c r="E341" s="17" t="s">
        <v>27</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378</v>
      </c>
      <c r="C342" t="s">
        <v>35</v>
      </c>
      <c r="D342">
        <v>64</v>
      </c>
      <c r="E342" s="17" t="s">
        <v>27</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379</v>
      </c>
      <c r="C343" t="s">
        <v>23</v>
      </c>
      <c r="D343">
        <v>47</v>
      </c>
      <c r="E343" s="17" t="s">
        <v>17</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380</v>
      </c>
      <c r="C344" t="s">
        <v>26</v>
      </c>
      <c r="D344">
        <v>55</v>
      </c>
      <c r="E344" s="17" t="s">
        <v>40</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381</v>
      </c>
      <c r="C345" t="s">
        <v>45</v>
      </c>
      <c r="D345">
        <v>104</v>
      </c>
      <c r="E345" s="17" t="s">
        <v>40</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382</v>
      </c>
      <c r="C346" t="s">
        <v>23</v>
      </c>
      <c r="D346">
        <v>116</v>
      </c>
      <c r="E346" s="17" t="s">
        <v>27</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383</v>
      </c>
      <c r="C347" t="s">
        <v>54</v>
      </c>
      <c r="D347">
        <v>99</v>
      </c>
      <c r="E347" s="17" t="s">
        <v>40</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384</v>
      </c>
      <c r="C348" t="s">
        <v>45</v>
      </c>
      <c r="D348">
        <v>84</v>
      </c>
      <c r="E348" s="17" t="s">
        <v>40</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385</v>
      </c>
      <c r="C349" t="s">
        <v>50</v>
      </c>
      <c r="D349">
        <v>159</v>
      </c>
      <c r="E349" s="17" t="s">
        <v>40</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386</v>
      </c>
      <c r="C350" t="s">
        <v>37</v>
      </c>
      <c r="D350">
        <v>25</v>
      </c>
      <c r="E350" s="17" t="s">
        <v>17</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387</v>
      </c>
      <c r="C351" t="s">
        <v>50</v>
      </c>
      <c r="D351">
        <v>53</v>
      </c>
      <c r="E351" s="17" t="s">
        <v>46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388</v>
      </c>
      <c r="C352" t="s">
        <v>50</v>
      </c>
      <c r="D352">
        <v>89</v>
      </c>
      <c r="E352" s="17" t="s">
        <v>17</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389</v>
      </c>
      <c r="C353" t="s">
        <v>30</v>
      </c>
      <c r="D353">
        <v>73</v>
      </c>
      <c r="E353" s="17" t="s">
        <v>27</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390</v>
      </c>
      <c r="C354" t="s">
        <v>54</v>
      </c>
      <c r="D354">
        <v>50</v>
      </c>
      <c r="E354" s="17" t="s">
        <v>27</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391</v>
      </c>
      <c r="C355" t="s">
        <v>32</v>
      </c>
      <c r="D355">
        <v>98</v>
      </c>
      <c r="E355" s="17" t="s">
        <v>27</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392</v>
      </c>
      <c r="C356" t="s">
        <v>49</v>
      </c>
      <c r="D356">
        <v>114</v>
      </c>
      <c r="E356" s="17" t="s">
        <v>40</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393</v>
      </c>
      <c r="C357" t="s">
        <v>35</v>
      </c>
      <c r="D357">
        <v>67</v>
      </c>
      <c r="E357" s="17" t="s">
        <v>40</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394</v>
      </c>
      <c r="C358" t="s">
        <v>26</v>
      </c>
      <c r="D358">
        <v>91</v>
      </c>
      <c r="E358" s="17" t="s">
        <v>27</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395</v>
      </c>
      <c r="C359" t="s">
        <v>41</v>
      </c>
      <c r="D359">
        <v>67</v>
      </c>
      <c r="E359" s="17" t="s">
        <v>27</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396</v>
      </c>
      <c r="C360" t="s">
        <v>49</v>
      </c>
      <c r="D360">
        <v>139</v>
      </c>
      <c r="E360" s="17" t="s">
        <v>17</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397</v>
      </c>
      <c r="C361" t="s">
        <v>41</v>
      </c>
      <c r="D361">
        <v>102</v>
      </c>
      <c r="E361" s="17" t="s">
        <v>17</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398</v>
      </c>
      <c r="C362" t="s">
        <v>18</v>
      </c>
      <c r="D362">
        <v>108</v>
      </c>
      <c r="E362" s="17" t="s">
        <v>33</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399</v>
      </c>
      <c r="C363" t="s">
        <v>37</v>
      </c>
      <c r="D363">
        <v>66</v>
      </c>
      <c r="E363" s="17" t="s">
        <v>27</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400</v>
      </c>
      <c r="C364" t="s">
        <v>43</v>
      </c>
      <c r="D364">
        <v>85</v>
      </c>
      <c r="E364" s="17" t="s">
        <v>17</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401</v>
      </c>
      <c r="C365" t="s">
        <v>35</v>
      </c>
      <c r="D365">
        <v>55</v>
      </c>
      <c r="E365" s="17" t="s">
        <v>33</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402</v>
      </c>
      <c r="C366" t="s">
        <v>18</v>
      </c>
      <c r="D366">
        <v>17</v>
      </c>
      <c r="E366" s="17" t="s">
        <v>46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403</v>
      </c>
      <c r="C367" t="s">
        <v>35</v>
      </c>
      <c r="D367">
        <v>128</v>
      </c>
      <c r="E367" s="17" t="s">
        <v>46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404</v>
      </c>
      <c r="C368" t="s">
        <v>54</v>
      </c>
      <c r="D368">
        <v>45</v>
      </c>
      <c r="E368" s="17" t="s">
        <v>33</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405</v>
      </c>
      <c r="C369" t="s">
        <v>18</v>
      </c>
      <c r="D369">
        <v>41</v>
      </c>
      <c r="E369" s="17" t="s">
        <v>46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406</v>
      </c>
      <c r="C370" t="s">
        <v>23</v>
      </c>
      <c r="D370">
        <v>49</v>
      </c>
      <c r="E370" s="17" t="s">
        <v>46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407</v>
      </c>
      <c r="C371" t="s">
        <v>22</v>
      </c>
      <c r="D371">
        <v>21</v>
      </c>
      <c r="E371" s="17" t="s">
        <v>40</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408</v>
      </c>
      <c r="C372" t="s">
        <v>50</v>
      </c>
      <c r="D372">
        <v>133</v>
      </c>
      <c r="E372" s="17" t="s">
        <v>33</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409</v>
      </c>
      <c r="C373" t="s">
        <v>16</v>
      </c>
      <c r="D373">
        <v>135</v>
      </c>
      <c r="E373" s="17" t="s">
        <v>27</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410</v>
      </c>
      <c r="C374" t="s">
        <v>49</v>
      </c>
      <c r="D374">
        <v>69</v>
      </c>
      <c r="E374" s="17" t="s">
        <v>33</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411</v>
      </c>
      <c r="C375" t="s">
        <v>45</v>
      </c>
      <c r="D375">
        <v>110</v>
      </c>
      <c r="E375" s="17" t="s">
        <v>40</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412</v>
      </c>
      <c r="C376" t="s">
        <v>41</v>
      </c>
      <c r="D376">
        <v>64</v>
      </c>
      <c r="E376" s="17" t="s">
        <v>17</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413</v>
      </c>
      <c r="C377" t="s">
        <v>26</v>
      </c>
      <c r="D377">
        <v>105</v>
      </c>
      <c r="E377" s="17" t="s">
        <v>46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414</v>
      </c>
      <c r="C378" t="s">
        <v>41</v>
      </c>
      <c r="D378">
        <v>165</v>
      </c>
      <c r="E378" s="17" t="s">
        <v>27</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415</v>
      </c>
      <c r="C379" t="s">
        <v>54</v>
      </c>
      <c r="D379">
        <v>125</v>
      </c>
      <c r="E379" s="17" t="s">
        <v>27</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416</v>
      </c>
      <c r="C380" t="s">
        <v>26</v>
      </c>
      <c r="D380">
        <v>88</v>
      </c>
      <c r="E380" s="17" t="s">
        <v>17</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417</v>
      </c>
      <c r="C381" t="s">
        <v>49</v>
      </c>
      <c r="D381">
        <v>6</v>
      </c>
      <c r="E381" s="17" t="s">
        <v>17</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418</v>
      </c>
      <c r="C382" t="s">
        <v>43</v>
      </c>
      <c r="D382">
        <v>69</v>
      </c>
      <c r="E382" s="17" t="s">
        <v>33</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419</v>
      </c>
      <c r="C383" t="s">
        <v>18</v>
      </c>
      <c r="D383">
        <v>107</v>
      </c>
      <c r="E383" s="17" t="s">
        <v>33</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420</v>
      </c>
      <c r="C384" t="s">
        <v>22</v>
      </c>
      <c r="D384">
        <v>90</v>
      </c>
      <c r="E384" s="17" t="s">
        <v>27</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421</v>
      </c>
      <c r="C385" t="s">
        <v>16</v>
      </c>
      <c r="D385">
        <v>120</v>
      </c>
      <c r="E385" s="17" t="s">
        <v>46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422</v>
      </c>
      <c r="C386" t="s">
        <v>32</v>
      </c>
      <c r="D386">
        <v>47</v>
      </c>
      <c r="E386" s="17" t="s">
        <v>33</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423</v>
      </c>
      <c r="C387" t="s">
        <v>30</v>
      </c>
      <c r="D387">
        <v>60</v>
      </c>
      <c r="E387" s="17" t="s">
        <v>46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424</v>
      </c>
      <c r="C388" t="s">
        <v>35</v>
      </c>
      <c r="D388">
        <v>64</v>
      </c>
      <c r="E388" s="17" t="s">
        <v>27</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425</v>
      </c>
      <c r="C389" t="s">
        <v>41</v>
      </c>
      <c r="D389">
        <v>62</v>
      </c>
      <c r="E389" s="17" t="s">
        <v>33</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426</v>
      </c>
      <c r="C390" t="s">
        <v>45</v>
      </c>
      <c r="D390">
        <v>88</v>
      </c>
      <c r="E390" s="17" t="s">
        <v>33</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427</v>
      </c>
      <c r="C391" t="s">
        <v>54</v>
      </c>
      <c r="D391">
        <v>116</v>
      </c>
      <c r="E391" s="17" t="s">
        <v>33</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428</v>
      </c>
      <c r="C392" t="s">
        <v>22</v>
      </c>
      <c r="D392">
        <v>82</v>
      </c>
      <c r="E392" s="17" t="s">
        <v>17</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429</v>
      </c>
      <c r="C393" t="s">
        <v>41</v>
      </c>
      <c r="D393">
        <v>99</v>
      </c>
      <c r="E393" s="17" t="s">
        <v>27</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430</v>
      </c>
      <c r="C394" t="s">
        <v>41</v>
      </c>
      <c r="D394">
        <v>55</v>
      </c>
      <c r="E394" s="17" t="s">
        <v>17</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431</v>
      </c>
      <c r="C395" t="s">
        <v>35</v>
      </c>
      <c r="D395">
        <v>61</v>
      </c>
      <c r="E395" s="17" t="s">
        <v>46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432</v>
      </c>
      <c r="C396" t="s">
        <v>54</v>
      </c>
      <c r="D396">
        <v>36</v>
      </c>
      <c r="E396" s="17" t="s">
        <v>40</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433</v>
      </c>
      <c r="C397" t="s">
        <v>22</v>
      </c>
      <c r="D397">
        <v>123</v>
      </c>
      <c r="E397" s="17" t="s">
        <v>33</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434</v>
      </c>
      <c r="C398" t="s">
        <v>23</v>
      </c>
      <c r="D398">
        <v>24</v>
      </c>
      <c r="E398" s="17" t="s">
        <v>46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435</v>
      </c>
      <c r="C399" t="s">
        <v>22</v>
      </c>
      <c r="D399">
        <v>43</v>
      </c>
      <c r="E399" s="17" t="s">
        <v>33</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436</v>
      </c>
      <c r="C400" t="s">
        <v>30</v>
      </c>
      <c r="D400">
        <v>95</v>
      </c>
      <c r="E400" s="17" t="s">
        <v>27</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437</v>
      </c>
      <c r="C401" t="s">
        <v>41</v>
      </c>
      <c r="D401">
        <v>53</v>
      </c>
      <c r="E401" s="17" t="s">
        <v>33</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438</v>
      </c>
      <c r="C402" t="s">
        <v>22</v>
      </c>
      <c r="D402">
        <v>113</v>
      </c>
      <c r="E402" s="17" t="s">
        <v>33</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439</v>
      </c>
      <c r="C403" t="s">
        <v>41</v>
      </c>
      <c r="D403">
        <v>89</v>
      </c>
      <c r="E403" s="17" t="s">
        <v>40</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440</v>
      </c>
      <c r="C404" t="s">
        <v>45</v>
      </c>
      <c r="D404">
        <v>84</v>
      </c>
      <c r="E404" s="17" t="s">
        <v>17</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441</v>
      </c>
      <c r="C405" t="s">
        <v>23</v>
      </c>
      <c r="D405">
        <v>130</v>
      </c>
      <c r="E405" s="17" t="s">
        <v>33</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442</v>
      </c>
      <c r="C406" t="s">
        <v>30</v>
      </c>
      <c r="D406">
        <v>163</v>
      </c>
      <c r="E406" s="17" t="s">
        <v>40</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443</v>
      </c>
      <c r="C407" t="s">
        <v>43</v>
      </c>
      <c r="D407">
        <v>127</v>
      </c>
      <c r="E407" s="17" t="s">
        <v>33</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444</v>
      </c>
      <c r="C408" t="s">
        <v>22</v>
      </c>
      <c r="D408">
        <v>50</v>
      </c>
      <c r="E408" s="17" t="s">
        <v>33</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445</v>
      </c>
      <c r="C409" t="s">
        <v>37</v>
      </c>
      <c r="D409">
        <v>88</v>
      </c>
      <c r="E409" s="17" t="s">
        <v>46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446</v>
      </c>
      <c r="C410" t="s">
        <v>22</v>
      </c>
      <c r="D410">
        <v>139</v>
      </c>
      <c r="E410" s="17" t="s">
        <v>27</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447</v>
      </c>
      <c r="C411" t="s">
        <v>30</v>
      </c>
      <c r="D411">
        <v>111</v>
      </c>
      <c r="E411" s="17" t="s">
        <v>33</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448</v>
      </c>
      <c r="C412" t="s">
        <v>26</v>
      </c>
      <c r="D412">
        <v>115</v>
      </c>
      <c r="E412" s="17" t="s">
        <v>27</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449</v>
      </c>
      <c r="C413" t="s">
        <v>41</v>
      </c>
      <c r="D413">
        <v>26</v>
      </c>
      <c r="E413" s="17" t="s">
        <v>40</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450</v>
      </c>
      <c r="C414" t="s">
        <v>45</v>
      </c>
      <c r="D414">
        <v>131</v>
      </c>
      <c r="E414" s="17" t="s">
        <v>46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451</v>
      </c>
      <c r="C415" t="s">
        <v>26</v>
      </c>
      <c r="D415">
        <v>27</v>
      </c>
      <c r="E415" s="17" t="s">
        <v>46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452</v>
      </c>
      <c r="C416" t="s">
        <v>50</v>
      </c>
      <c r="D416">
        <v>75</v>
      </c>
      <c r="E416" s="17" t="s">
        <v>33</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453</v>
      </c>
      <c r="C417" t="s">
        <v>35</v>
      </c>
      <c r="D417">
        <v>123</v>
      </c>
      <c r="E417" s="17" t="s">
        <v>46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454</v>
      </c>
      <c r="C418" t="s">
        <v>16</v>
      </c>
      <c r="D418">
        <v>129</v>
      </c>
      <c r="E418" s="17" t="s">
        <v>46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455</v>
      </c>
      <c r="C419" t="s">
        <v>50</v>
      </c>
      <c r="D419">
        <v>124</v>
      </c>
      <c r="E419" s="17" t="s">
        <v>27</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456</v>
      </c>
      <c r="C420" t="s">
        <v>26</v>
      </c>
      <c r="D420">
        <v>108</v>
      </c>
      <c r="E420" s="17" t="s">
        <v>27</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457</v>
      </c>
      <c r="C421" t="s">
        <v>32</v>
      </c>
      <c r="D421">
        <v>15</v>
      </c>
      <c r="E421" s="17" t="s">
        <v>27</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458</v>
      </c>
      <c r="C422" t="s">
        <v>26</v>
      </c>
      <c r="D422">
        <v>66</v>
      </c>
      <c r="E422" s="17" t="s">
        <v>27</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459</v>
      </c>
      <c r="C423" t="s">
        <v>37</v>
      </c>
      <c r="D423">
        <v>126</v>
      </c>
      <c r="E423" s="17" t="s">
        <v>33</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460</v>
      </c>
      <c r="C424" t="s">
        <v>50</v>
      </c>
      <c r="D424">
        <v>26</v>
      </c>
      <c r="E424" s="17" t="s">
        <v>17</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461</v>
      </c>
      <c r="C425" t="s">
        <v>23</v>
      </c>
      <c r="D425">
        <v>105</v>
      </c>
      <c r="E425" s="17" t="s">
        <v>33</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462</v>
      </c>
      <c r="C426" t="s">
        <v>23</v>
      </c>
      <c r="D426">
        <v>31</v>
      </c>
      <c r="E426" s="17" t="s">
        <v>33</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463</v>
      </c>
      <c r="C427" t="s">
        <v>26</v>
      </c>
      <c r="D427">
        <v>109</v>
      </c>
      <c r="E427" s="17" t="s">
        <v>27</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464</v>
      </c>
      <c r="C428" t="s">
        <v>16</v>
      </c>
      <c r="D428">
        <v>113</v>
      </c>
      <c r="E428" s="17" t="s">
        <v>40</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465</v>
      </c>
      <c r="C429" t="s">
        <v>37</v>
      </c>
      <c r="D429">
        <v>101</v>
      </c>
      <c r="E429" s="17" t="s">
        <v>17</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466</v>
      </c>
      <c r="C430" t="s">
        <v>30</v>
      </c>
      <c r="D430">
        <v>156</v>
      </c>
      <c r="E430" s="17" t="s">
        <v>17</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467</v>
      </c>
      <c r="C431" t="s">
        <v>26</v>
      </c>
      <c r="D431">
        <v>145</v>
      </c>
      <c r="E431" s="17" t="s">
        <v>40</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468</v>
      </c>
      <c r="C432" t="s">
        <v>35</v>
      </c>
      <c r="D432">
        <v>36</v>
      </c>
      <c r="E432" s="17" t="s">
        <v>27</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469</v>
      </c>
      <c r="C433" t="s">
        <v>23</v>
      </c>
      <c r="D433">
        <v>135</v>
      </c>
      <c r="E433" s="17" t="s">
        <v>46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470</v>
      </c>
      <c r="C434" t="s">
        <v>37</v>
      </c>
      <c r="D434">
        <v>81</v>
      </c>
      <c r="E434" s="17" t="s">
        <v>27</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471</v>
      </c>
      <c r="C435" t="s">
        <v>37</v>
      </c>
      <c r="D435">
        <v>81</v>
      </c>
      <c r="E435" s="17" t="s">
        <v>40</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472</v>
      </c>
      <c r="C436" t="s">
        <v>43</v>
      </c>
      <c r="D436">
        <v>93</v>
      </c>
      <c r="E436" s="17" t="s">
        <v>33</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473</v>
      </c>
      <c r="C437" t="s">
        <v>26</v>
      </c>
      <c r="D437">
        <v>14</v>
      </c>
      <c r="E437" s="17" t="s">
        <v>27</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474</v>
      </c>
      <c r="C438" t="s">
        <v>23</v>
      </c>
      <c r="D438">
        <v>95</v>
      </c>
      <c r="E438" s="17" t="s">
        <v>40</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475</v>
      </c>
      <c r="C439" t="s">
        <v>43</v>
      </c>
      <c r="D439">
        <v>81</v>
      </c>
      <c r="E439" s="17" t="s">
        <v>40</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476</v>
      </c>
      <c r="C440" t="s">
        <v>41</v>
      </c>
      <c r="D440">
        <v>60</v>
      </c>
      <c r="E440" s="17" t="s">
        <v>27</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477</v>
      </c>
      <c r="C441" t="s">
        <v>49</v>
      </c>
      <c r="D441">
        <v>137</v>
      </c>
      <c r="E441" s="17" t="s">
        <v>33</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478</v>
      </c>
      <c r="C442" t="s">
        <v>22</v>
      </c>
      <c r="D442">
        <v>112</v>
      </c>
      <c r="E442" s="17" t="s">
        <v>46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479</v>
      </c>
      <c r="C443" t="s">
        <v>23</v>
      </c>
      <c r="D443">
        <v>76</v>
      </c>
      <c r="E443" s="17" t="s">
        <v>17</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480</v>
      </c>
      <c r="C444" t="s">
        <v>54</v>
      </c>
      <c r="D444">
        <v>73</v>
      </c>
      <c r="E444" s="17" t="s">
        <v>27</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481</v>
      </c>
      <c r="C445" t="s">
        <v>45</v>
      </c>
      <c r="D445">
        <v>119</v>
      </c>
      <c r="E445" s="17" t="s">
        <v>33</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482</v>
      </c>
      <c r="C446" t="s">
        <v>16</v>
      </c>
      <c r="D446">
        <v>135</v>
      </c>
      <c r="E446" s="17" t="s">
        <v>40</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483</v>
      </c>
      <c r="C447" t="s">
        <v>49</v>
      </c>
      <c r="D447">
        <v>41</v>
      </c>
      <c r="E447" s="17" t="s">
        <v>46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484</v>
      </c>
      <c r="C448" t="s">
        <v>26</v>
      </c>
      <c r="D448">
        <v>35</v>
      </c>
      <c r="E448" s="17" t="s">
        <v>40</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485</v>
      </c>
      <c r="C449" t="s">
        <v>16</v>
      </c>
      <c r="D449">
        <v>96</v>
      </c>
      <c r="E449" s="17" t="s">
        <v>27</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486</v>
      </c>
      <c r="C450" t="s">
        <v>43</v>
      </c>
      <c r="D450">
        <v>61</v>
      </c>
      <c r="E450" s="17" t="s">
        <v>46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487</v>
      </c>
      <c r="C451" t="s">
        <v>16</v>
      </c>
      <c r="D451">
        <v>91</v>
      </c>
      <c r="E451" s="17" t="s">
        <v>46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488</v>
      </c>
      <c r="C452" t="s">
        <v>18</v>
      </c>
      <c r="D452">
        <v>30</v>
      </c>
      <c r="E452" s="17" t="s">
        <v>46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489</v>
      </c>
      <c r="C453" t="s">
        <v>41</v>
      </c>
      <c r="D453">
        <v>111</v>
      </c>
      <c r="E453" s="17" t="s">
        <v>33</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490</v>
      </c>
      <c r="C454" t="s">
        <v>43</v>
      </c>
      <c r="D454">
        <v>81</v>
      </c>
      <c r="E454" s="17" t="s">
        <v>27</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491</v>
      </c>
      <c r="C455" t="s">
        <v>23</v>
      </c>
      <c r="D455">
        <v>40</v>
      </c>
      <c r="E455" s="17" t="s">
        <v>40</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492</v>
      </c>
      <c r="C456" t="s">
        <v>41</v>
      </c>
      <c r="D456">
        <v>143</v>
      </c>
      <c r="E456" s="17" t="s">
        <v>40</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493</v>
      </c>
      <c r="C457" t="s">
        <v>23</v>
      </c>
      <c r="D457">
        <v>70</v>
      </c>
      <c r="E457" s="17" t="s">
        <v>40</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494</v>
      </c>
      <c r="C458" t="s">
        <v>54</v>
      </c>
      <c r="D458">
        <v>137</v>
      </c>
      <c r="E458" s="17" t="s">
        <v>40</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495</v>
      </c>
      <c r="C459" t="s">
        <v>16</v>
      </c>
      <c r="D459">
        <v>52</v>
      </c>
      <c r="E459" s="17" t="s">
        <v>27</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496</v>
      </c>
      <c r="C460" t="s">
        <v>22</v>
      </c>
      <c r="D460">
        <v>31</v>
      </c>
      <c r="E460" s="17" t="s">
        <v>33</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497</v>
      </c>
      <c r="C461" t="s">
        <v>16</v>
      </c>
      <c r="D461">
        <v>114</v>
      </c>
      <c r="E461" s="17" t="s">
        <v>46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498</v>
      </c>
      <c r="C462" t="s">
        <v>54</v>
      </c>
      <c r="D462">
        <v>73</v>
      </c>
      <c r="E462" s="17" t="s">
        <v>17</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499</v>
      </c>
      <c r="C463" t="s">
        <v>43</v>
      </c>
      <c r="D463">
        <v>25</v>
      </c>
      <c r="E463" s="17" t="s">
        <v>33</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500</v>
      </c>
      <c r="C464" t="s">
        <v>32</v>
      </c>
      <c r="D464">
        <v>44</v>
      </c>
      <c r="E464" s="17" t="s">
        <v>46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501</v>
      </c>
      <c r="C465" t="s">
        <v>35</v>
      </c>
      <c r="D465">
        <v>34</v>
      </c>
      <c r="E465" s="17" t="s">
        <v>27</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502</v>
      </c>
      <c r="C466" t="s">
        <v>41</v>
      </c>
      <c r="D466">
        <v>89</v>
      </c>
      <c r="E466" s="17" t="s">
        <v>40</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503</v>
      </c>
      <c r="C467" t="s">
        <v>45</v>
      </c>
      <c r="D467">
        <v>54</v>
      </c>
      <c r="E467" s="17" t="s">
        <v>33</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504</v>
      </c>
      <c r="C468" t="s">
        <v>26</v>
      </c>
      <c r="D468">
        <v>25</v>
      </c>
      <c r="E468" s="17" t="s">
        <v>33</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505</v>
      </c>
      <c r="C469" t="s">
        <v>49</v>
      </c>
      <c r="D469">
        <v>91</v>
      </c>
      <c r="E469" s="17" t="s">
        <v>40</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506</v>
      </c>
      <c r="C470" t="s">
        <v>32</v>
      </c>
      <c r="D470">
        <v>144</v>
      </c>
      <c r="E470" s="17" t="s">
        <v>46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507</v>
      </c>
      <c r="C471" t="s">
        <v>49</v>
      </c>
      <c r="D471">
        <v>81</v>
      </c>
      <c r="E471" s="17" t="s">
        <v>27</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508</v>
      </c>
      <c r="C472" t="s">
        <v>18</v>
      </c>
      <c r="D472">
        <v>92</v>
      </c>
      <c r="E472" s="17" t="s">
        <v>33</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509</v>
      </c>
      <c r="C473" t="s">
        <v>26</v>
      </c>
      <c r="D473">
        <v>115</v>
      </c>
      <c r="E473" s="17" t="s">
        <v>40</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510</v>
      </c>
      <c r="C474" t="s">
        <v>37</v>
      </c>
      <c r="D474">
        <v>56</v>
      </c>
      <c r="E474" s="17" t="s">
        <v>40</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511</v>
      </c>
      <c r="C475" t="s">
        <v>22</v>
      </c>
      <c r="D475">
        <v>154</v>
      </c>
      <c r="E475" s="17" t="s">
        <v>33</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512</v>
      </c>
      <c r="C476" t="s">
        <v>41</v>
      </c>
      <c r="D476">
        <v>51</v>
      </c>
      <c r="E476" s="17" t="s">
        <v>40</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513</v>
      </c>
      <c r="C477" t="s">
        <v>35</v>
      </c>
      <c r="D477">
        <v>21</v>
      </c>
      <c r="E477" s="17" t="s">
        <v>27</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514</v>
      </c>
      <c r="C478" t="s">
        <v>26</v>
      </c>
      <c r="D478">
        <v>80</v>
      </c>
      <c r="E478" s="17" t="s">
        <v>40</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515</v>
      </c>
      <c r="C479" t="s">
        <v>41</v>
      </c>
      <c r="D479">
        <v>139</v>
      </c>
      <c r="E479" s="17" t="s">
        <v>33</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516</v>
      </c>
      <c r="C480" t="s">
        <v>23</v>
      </c>
      <c r="D480">
        <v>50</v>
      </c>
      <c r="E480" s="17" t="s">
        <v>27</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517</v>
      </c>
      <c r="C481" t="s">
        <v>26</v>
      </c>
      <c r="D481">
        <v>88</v>
      </c>
      <c r="E481" s="17" t="s">
        <v>40</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518</v>
      </c>
      <c r="C482" t="s">
        <v>45</v>
      </c>
      <c r="D482">
        <v>19</v>
      </c>
      <c r="E482" s="17" t="s">
        <v>46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519</v>
      </c>
      <c r="C483" t="s">
        <v>43</v>
      </c>
      <c r="D483">
        <v>104</v>
      </c>
      <c r="E483" s="17" t="s">
        <v>46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520</v>
      </c>
      <c r="C484" t="s">
        <v>22</v>
      </c>
      <c r="D484">
        <v>67</v>
      </c>
      <c r="E484" s="17" t="s">
        <v>33</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521</v>
      </c>
      <c r="C485" t="s">
        <v>50</v>
      </c>
      <c r="D485">
        <v>107</v>
      </c>
      <c r="E485" s="17" t="s">
        <v>46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522</v>
      </c>
      <c r="C486" t="s">
        <v>50</v>
      </c>
      <c r="D486">
        <v>93</v>
      </c>
      <c r="E486" s="17" t="s">
        <v>46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523</v>
      </c>
      <c r="C487" t="s">
        <v>50</v>
      </c>
      <c r="D487">
        <v>117</v>
      </c>
      <c r="E487" s="17" t="s">
        <v>33</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524</v>
      </c>
      <c r="C488" t="s">
        <v>23</v>
      </c>
      <c r="D488">
        <v>76</v>
      </c>
      <c r="E488" s="17" t="s">
        <v>40</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525</v>
      </c>
      <c r="C489" t="s">
        <v>45</v>
      </c>
      <c r="D489">
        <v>64</v>
      </c>
      <c r="E489" s="17" t="s">
        <v>46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526</v>
      </c>
      <c r="C490" t="s">
        <v>32</v>
      </c>
      <c r="D490">
        <v>33</v>
      </c>
      <c r="E490" s="17" t="s">
        <v>46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527</v>
      </c>
      <c r="C491" t="s">
        <v>50</v>
      </c>
      <c r="D491">
        <v>115</v>
      </c>
      <c r="E491" s="17" t="s">
        <v>33</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528</v>
      </c>
      <c r="C492" t="s">
        <v>30</v>
      </c>
      <c r="D492">
        <v>155</v>
      </c>
      <c r="E492" s="17" t="s">
        <v>40</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529</v>
      </c>
      <c r="C493" t="s">
        <v>22</v>
      </c>
      <c r="D493">
        <v>117</v>
      </c>
      <c r="E493" s="17" t="s">
        <v>40</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530</v>
      </c>
      <c r="C494" t="s">
        <v>41</v>
      </c>
      <c r="D494">
        <v>63</v>
      </c>
      <c r="E494" s="17" t="s">
        <v>40</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531</v>
      </c>
      <c r="C495" t="s">
        <v>45</v>
      </c>
      <c r="D495">
        <v>59</v>
      </c>
      <c r="E495" s="17" t="s">
        <v>17</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532</v>
      </c>
      <c r="C496" t="s">
        <v>35</v>
      </c>
      <c r="D496">
        <v>133</v>
      </c>
      <c r="E496" s="17" t="s">
        <v>46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533</v>
      </c>
      <c r="C497" t="s">
        <v>18</v>
      </c>
      <c r="D497">
        <v>101</v>
      </c>
      <c r="E497" s="17" t="s">
        <v>27</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534</v>
      </c>
      <c r="C498" t="s">
        <v>49</v>
      </c>
      <c r="D498">
        <v>151</v>
      </c>
      <c r="E498" s="17" t="s">
        <v>40</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535</v>
      </c>
      <c r="C499" t="s">
        <v>32</v>
      </c>
      <c r="D499">
        <v>146</v>
      </c>
      <c r="E499" s="17" t="s">
        <v>46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536</v>
      </c>
      <c r="C500" t="s">
        <v>41</v>
      </c>
      <c r="D500">
        <v>148</v>
      </c>
      <c r="E500" s="17" t="s">
        <v>46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537</v>
      </c>
      <c r="C501" t="s">
        <v>49</v>
      </c>
      <c r="D501">
        <v>81</v>
      </c>
      <c r="E501" s="17" t="s">
        <v>46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538</v>
      </c>
      <c r="C502" t="s">
        <v>43</v>
      </c>
      <c r="D502">
        <v>115</v>
      </c>
      <c r="E502" s="17" t="s">
        <v>46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539</v>
      </c>
      <c r="C503" t="s">
        <v>43</v>
      </c>
      <c r="D503">
        <v>117</v>
      </c>
      <c r="E503" s="17" t="s">
        <v>40</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540</v>
      </c>
      <c r="C504" t="s">
        <v>18</v>
      </c>
      <c r="D504">
        <v>110</v>
      </c>
      <c r="E504" s="17" t="s">
        <v>33</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541</v>
      </c>
      <c r="C505" t="s">
        <v>23</v>
      </c>
      <c r="D505">
        <v>103</v>
      </c>
      <c r="E505" s="17" t="s">
        <v>17</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542</v>
      </c>
      <c r="C506" t="s">
        <v>30</v>
      </c>
      <c r="D506">
        <v>45</v>
      </c>
      <c r="E506" s="17" t="s">
        <v>17</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543</v>
      </c>
      <c r="C507" t="s">
        <v>18</v>
      </c>
      <c r="D507">
        <v>110</v>
      </c>
      <c r="E507" s="17" t="s">
        <v>27</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544</v>
      </c>
      <c r="C508" t="s">
        <v>45</v>
      </c>
      <c r="D508">
        <v>43</v>
      </c>
      <c r="E508" s="17" t="s">
        <v>33</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545</v>
      </c>
      <c r="C509" t="s">
        <v>18</v>
      </c>
      <c r="D509">
        <v>104</v>
      </c>
      <c r="E509" s="17" t="s">
        <v>40</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546</v>
      </c>
      <c r="C510" t="s">
        <v>18</v>
      </c>
      <c r="D510">
        <v>101</v>
      </c>
      <c r="E510" s="17" t="s">
        <v>40</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547</v>
      </c>
      <c r="C511" t="s">
        <v>16</v>
      </c>
      <c r="D511">
        <v>55</v>
      </c>
      <c r="E511" s="17" t="s">
        <v>33</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548</v>
      </c>
      <c r="C512" t="s">
        <v>49</v>
      </c>
      <c r="D512">
        <v>40</v>
      </c>
      <c r="E512" s="17" t="s">
        <v>17</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549</v>
      </c>
      <c r="C513" t="s">
        <v>45</v>
      </c>
      <c r="D513">
        <v>122</v>
      </c>
      <c r="E513" s="17" t="s">
        <v>46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550</v>
      </c>
      <c r="C514" t="s">
        <v>32</v>
      </c>
      <c r="D514">
        <v>98</v>
      </c>
      <c r="E514" s="17" t="s">
        <v>40</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551</v>
      </c>
      <c r="C515" t="s">
        <v>43</v>
      </c>
      <c r="D515">
        <v>110</v>
      </c>
      <c r="E515" s="17" t="s">
        <v>17</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552</v>
      </c>
      <c r="C516" t="s">
        <v>43</v>
      </c>
      <c r="D516">
        <v>62</v>
      </c>
      <c r="E516" s="17" t="s">
        <v>33</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553</v>
      </c>
      <c r="C517" t="s">
        <v>45</v>
      </c>
      <c r="D517">
        <v>134</v>
      </c>
      <c r="E517" s="17" t="s">
        <v>46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554</v>
      </c>
      <c r="C518" t="s">
        <v>54</v>
      </c>
      <c r="D518">
        <v>94</v>
      </c>
      <c r="E518" s="17" t="s">
        <v>27</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555</v>
      </c>
      <c r="C519" t="s">
        <v>37</v>
      </c>
      <c r="D519">
        <v>63</v>
      </c>
      <c r="E519" s="17" t="s">
        <v>17</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556</v>
      </c>
      <c r="C520" t="s">
        <v>35</v>
      </c>
      <c r="D520">
        <v>95</v>
      </c>
      <c r="E520" s="17" t="s">
        <v>46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557</v>
      </c>
      <c r="C521" t="s">
        <v>45</v>
      </c>
      <c r="D521">
        <v>106</v>
      </c>
      <c r="E521" s="17" t="s">
        <v>46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558</v>
      </c>
      <c r="C522" t="s">
        <v>30</v>
      </c>
      <c r="D522">
        <v>94</v>
      </c>
      <c r="E522" s="17" t="s">
        <v>27</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559</v>
      </c>
      <c r="C523" t="s">
        <v>30</v>
      </c>
      <c r="D523">
        <v>51</v>
      </c>
      <c r="E523" s="17" t="s">
        <v>27</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560</v>
      </c>
      <c r="C524" t="s">
        <v>41</v>
      </c>
      <c r="D524">
        <v>39</v>
      </c>
      <c r="E524" s="17" t="s">
        <v>27</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561</v>
      </c>
      <c r="C525" t="s">
        <v>49</v>
      </c>
      <c r="D525">
        <v>111</v>
      </c>
      <c r="E525" s="17" t="s">
        <v>46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562</v>
      </c>
      <c r="C526" t="s">
        <v>50</v>
      </c>
      <c r="D526">
        <v>141</v>
      </c>
      <c r="E526" s="17" t="s">
        <v>33</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563</v>
      </c>
      <c r="C527" t="s">
        <v>37</v>
      </c>
      <c r="D527">
        <v>147</v>
      </c>
      <c r="E527" s="17" t="s">
        <v>46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564</v>
      </c>
      <c r="C528" t="s">
        <v>54</v>
      </c>
      <c r="D528">
        <v>49</v>
      </c>
      <c r="E528" s="17" t="s">
        <v>27</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565</v>
      </c>
      <c r="C529" t="s">
        <v>26</v>
      </c>
      <c r="D529">
        <v>75</v>
      </c>
      <c r="E529" s="17" t="s">
        <v>46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566</v>
      </c>
      <c r="C530" t="s">
        <v>50</v>
      </c>
      <c r="D530">
        <v>48</v>
      </c>
      <c r="E530" s="17" t="s">
        <v>33</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567</v>
      </c>
      <c r="C531" t="s">
        <v>43</v>
      </c>
      <c r="D531">
        <v>48</v>
      </c>
      <c r="E531" s="17" t="s">
        <v>33</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568</v>
      </c>
      <c r="C532" t="s">
        <v>22</v>
      </c>
      <c r="D532">
        <v>138</v>
      </c>
      <c r="E532" s="17" t="s">
        <v>27</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569</v>
      </c>
      <c r="C533" t="s">
        <v>35</v>
      </c>
      <c r="D533">
        <v>144</v>
      </c>
      <c r="E533" s="17" t="s">
        <v>27</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570</v>
      </c>
      <c r="C534" t="s">
        <v>18</v>
      </c>
      <c r="D534">
        <v>119</v>
      </c>
      <c r="E534" s="17" t="s">
        <v>46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571</v>
      </c>
      <c r="C535" t="s">
        <v>22</v>
      </c>
      <c r="D535">
        <v>101</v>
      </c>
      <c r="E535" s="17" t="s">
        <v>33</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572</v>
      </c>
      <c r="C536" t="s">
        <v>35</v>
      </c>
      <c r="D536">
        <v>59</v>
      </c>
      <c r="E536" s="17" t="s">
        <v>46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573</v>
      </c>
      <c r="C537" t="s">
        <v>49</v>
      </c>
      <c r="D537">
        <v>125</v>
      </c>
      <c r="E537" s="17" t="s">
        <v>17</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574</v>
      </c>
      <c r="C538" t="s">
        <v>45</v>
      </c>
      <c r="D538">
        <v>147</v>
      </c>
      <c r="E538" s="17" t="s">
        <v>46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575</v>
      </c>
      <c r="C539" t="s">
        <v>23</v>
      </c>
      <c r="D539">
        <v>76</v>
      </c>
      <c r="E539" s="17" t="s">
        <v>46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576</v>
      </c>
      <c r="C540" t="s">
        <v>37</v>
      </c>
      <c r="D540">
        <v>99</v>
      </c>
      <c r="E540" s="17" t="s">
        <v>33</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577</v>
      </c>
      <c r="C541" t="s">
        <v>41</v>
      </c>
      <c r="D541">
        <v>111</v>
      </c>
      <c r="E541" s="17" t="s">
        <v>40</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578</v>
      </c>
      <c r="C542" t="s">
        <v>32</v>
      </c>
      <c r="D542">
        <v>147</v>
      </c>
      <c r="E542" s="17" t="s">
        <v>17</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579</v>
      </c>
      <c r="C543" t="s">
        <v>16</v>
      </c>
      <c r="D543">
        <v>141</v>
      </c>
      <c r="E543" s="17" t="s">
        <v>33</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580</v>
      </c>
      <c r="C544" t="s">
        <v>23</v>
      </c>
      <c r="D544">
        <v>71</v>
      </c>
      <c r="E544" s="17" t="s">
        <v>46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581</v>
      </c>
      <c r="C545" t="s">
        <v>23</v>
      </c>
      <c r="D545">
        <v>121</v>
      </c>
      <c r="E545" s="17" t="s">
        <v>17</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582</v>
      </c>
      <c r="C546" t="s">
        <v>23</v>
      </c>
      <c r="D546">
        <v>60</v>
      </c>
      <c r="E546" s="17" t="s">
        <v>17</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583</v>
      </c>
      <c r="C547" t="s">
        <v>54</v>
      </c>
      <c r="D547">
        <v>158</v>
      </c>
      <c r="E547" s="17" t="s">
        <v>33</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584</v>
      </c>
      <c r="C548" t="s">
        <v>45</v>
      </c>
      <c r="D548">
        <v>159</v>
      </c>
      <c r="E548" s="17" t="s">
        <v>27</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585</v>
      </c>
      <c r="C549" t="s">
        <v>22</v>
      </c>
      <c r="D549">
        <v>70</v>
      </c>
      <c r="E549" s="17" t="s">
        <v>46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586</v>
      </c>
      <c r="C550" t="s">
        <v>50</v>
      </c>
      <c r="D550">
        <v>78</v>
      </c>
      <c r="E550" s="17" t="s">
        <v>40</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587</v>
      </c>
      <c r="C551" t="s">
        <v>32</v>
      </c>
      <c r="D551">
        <v>103</v>
      </c>
      <c r="E551" s="17" t="s">
        <v>46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588</v>
      </c>
      <c r="C552" t="s">
        <v>26</v>
      </c>
      <c r="D552">
        <v>108</v>
      </c>
      <c r="E552" s="17" t="s">
        <v>33</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589</v>
      </c>
      <c r="C553" t="s">
        <v>26</v>
      </c>
      <c r="D553">
        <v>44</v>
      </c>
      <c r="E553" s="17" t="s">
        <v>17</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590</v>
      </c>
      <c r="C554" t="s">
        <v>50</v>
      </c>
      <c r="D554">
        <v>127</v>
      </c>
      <c r="E554" s="17" t="s">
        <v>33</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591</v>
      </c>
      <c r="C555" t="s">
        <v>32</v>
      </c>
      <c r="D555">
        <v>132</v>
      </c>
      <c r="E555" s="17" t="s">
        <v>46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592</v>
      </c>
      <c r="C556" t="s">
        <v>16</v>
      </c>
      <c r="D556">
        <v>106</v>
      </c>
      <c r="E556" s="17" t="s">
        <v>40</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593</v>
      </c>
      <c r="C557" t="s">
        <v>41</v>
      </c>
      <c r="D557">
        <v>107</v>
      </c>
      <c r="E557" s="17" t="s">
        <v>46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594</v>
      </c>
      <c r="C558" t="s">
        <v>45</v>
      </c>
      <c r="D558">
        <v>85</v>
      </c>
      <c r="E558" s="17" t="s">
        <v>40</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595</v>
      </c>
      <c r="C559" t="s">
        <v>37</v>
      </c>
      <c r="D559">
        <v>49</v>
      </c>
      <c r="E559" s="17" t="s">
        <v>46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596</v>
      </c>
      <c r="C560" t="s">
        <v>23</v>
      </c>
      <c r="D560">
        <v>117</v>
      </c>
      <c r="E560" s="17" t="s">
        <v>33</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597</v>
      </c>
      <c r="C561" t="s">
        <v>41</v>
      </c>
      <c r="D561">
        <v>136</v>
      </c>
      <c r="E561" s="17" t="s">
        <v>40</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598</v>
      </c>
      <c r="C562" t="s">
        <v>26</v>
      </c>
      <c r="D562">
        <v>130</v>
      </c>
      <c r="E562" s="17" t="s">
        <v>27</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599</v>
      </c>
      <c r="C563" t="s">
        <v>26</v>
      </c>
      <c r="D563">
        <v>73</v>
      </c>
      <c r="E563" s="17" t="s">
        <v>27</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600</v>
      </c>
      <c r="C564" t="s">
        <v>37</v>
      </c>
      <c r="D564">
        <v>80</v>
      </c>
      <c r="E564" s="17" t="s">
        <v>46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601</v>
      </c>
      <c r="C565" t="s">
        <v>18</v>
      </c>
      <c r="D565">
        <v>44</v>
      </c>
      <c r="E565" s="17" t="s">
        <v>33</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602</v>
      </c>
      <c r="C566" t="s">
        <v>18</v>
      </c>
      <c r="D566">
        <v>102</v>
      </c>
      <c r="E566" s="17" t="s">
        <v>17</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603</v>
      </c>
      <c r="C567" t="s">
        <v>54</v>
      </c>
      <c r="D567">
        <v>74</v>
      </c>
      <c r="E567" s="17" t="s">
        <v>17</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604</v>
      </c>
      <c r="C568" t="s">
        <v>37</v>
      </c>
      <c r="D568">
        <v>52</v>
      </c>
      <c r="E568" s="17" t="s">
        <v>33</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605</v>
      </c>
      <c r="C569" t="s">
        <v>37</v>
      </c>
      <c r="D569">
        <v>74</v>
      </c>
      <c r="E569" s="17" t="s">
        <v>27</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606</v>
      </c>
      <c r="C570" t="s">
        <v>26</v>
      </c>
      <c r="D570">
        <v>96</v>
      </c>
      <c r="E570" s="17" t="s">
        <v>17</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607</v>
      </c>
      <c r="C571" t="s">
        <v>49</v>
      </c>
      <c r="D571">
        <v>104</v>
      </c>
      <c r="E571" s="17" t="s">
        <v>46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608</v>
      </c>
      <c r="C572" t="s">
        <v>26</v>
      </c>
      <c r="D572">
        <v>123</v>
      </c>
      <c r="E572" s="17" t="s">
        <v>17</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609</v>
      </c>
      <c r="C573" t="s">
        <v>43</v>
      </c>
      <c r="D573">
        <v>100</v>
      </c>
      <c r="E573" s="17" t="s">
        <v>40</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610</v>
      </c>
      <c r="C574" t="s">
        <v>49</v>
      </c>
      <c r="D574">
        <v>35</v>
      </c>
      <c r="E574" s="17" t="s">
        <v>33</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611</v>
      </c>
      <c r="C575" t="s">
        <v>37</v>
      </c>
      <c r="D575">
        <v>123</v>
      </c>
      <c r="E575" s="17" t="s">
        <v>46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612</v>
      </c>
      <c r="C576" t="s">
        <v>23</v>
      </c>
      <c r="D576">
        <v>133</v>
      </c>
      <c r="E576" s="17" t="s">
        <v>33</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613</v>
      </c>
      <c r="C577" t="s">
        <v>26</v>
      </c>
      <c r="D577">
        <v>126</v>
      </c>
      <c r="E577" s="17" t="s">
        <v>27</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614</v>
      </c>
      <c r="C578" t="s">
        <v>37</v>
      </c>
      <c r="D578">
        <v>39</v>
      </c>
      <c r="E578" s="17" t="s">
        <v>17</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615</v>
      </c>
      <c r="C579" t="s">
        <v>54</v>
      </c>
      <c r="D579">
        <v>31</v>
      </c>
      <c r="E579" s="17" t="s">
        <v>46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616</v>
      </c>
      <c r="C580" t="s">
        <v>32</v>
      </c>
      <c r="D580">
        <v>25</v>
      </c>
      <c r="E580" s="17" t="s">
        <v>33</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617</v>
      </c>
      <c r="C581" t="s">
        <v>22</v>
      </c>
      <c r="D581">
        <v>132</v>
      </c>
      <c r="E581" s="17" t="s">
        <v>40</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618</v>
      </c>
      <c r="C582" t="s">
        <v>49</v>
      </c>
      <c r="D582">
        <v>63</v>
      </c>
      <c r="E582" s="17" t="s">
        <v>27</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619</v>
      </c>
      <c r="C583" t="s">
        <v>43</v>
      </c>
      <c r="D583">
        <v>135</v>
      </c>
      <c r="E583" s="17" t="s">
        <v>40</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620</v>
      </c>
      <c r="C584" t="s">
        <v>45</v>
      </c>
      <c r="D584">
        <v>101</v>
      </c>
      <c r="E584" s="17" t="s">
        <v>27</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621</v>
      </c>
      <c r="C585" t="s">
        <v>23</v>
      </c>
      <c r="D585">
        <v>80</v>
      </c>
      <c r="E585" s="17" t="s">
        <v>17</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622</v>
      </c>
      <c r="C586" t="s">
        <v>18</v>
      </c>
      <c r="D586">
        <v>28</v>
      </c>
      <c r="E586" s="17" t="s">
        <v>17</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623</v>
      </c>
      <c r="C587" t="s">
        <v>45</v>
      </c>
      <c r="D587">
        <v>102</v>
      </c>
      <c r="E587" s="17" t="s">
        <v>40</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624</v>
      </c>
      <c r="C588" t="s">
        <v>49</v>
      </c>
      <c r="D588">
        <v>60</v>
      </c>
      <c r="E588" s="17" t="s">
        <v>40</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625</v>
      </c>
      <c r="C589" t="s">
        <v>30</v>
      </c>
      <c r="D589">
        <v>103</v>
      </c>
      <c r="E589" s="17" t="s">
        <v>40</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626</v>
      </c>
      <c r="C590" t="s">
        <v>23</v>
      </c>
      <c r="D590">
        <v>90</v>
      </c>
      <c r="E590" s="17" t="s">
        <v>17</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627</v>
      </c>
      <c r="C591" t="s">
        <v>50</v>
      </c>
      <c r="D591">
        <v>88</v>
      </c>
      <c r="E591" s="17" t="s">
        <v>40</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628</v>
      </c>
      <c r="C592" t="s">
        <v>30</v>
      </c>
      <c r="D592">
        <v>37</v>
      </c>
      <c r="E592" s="17" t="s">
        <v>40</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629</v>
      </c>
      <c r="C593" t="s">
        <v>18</v>
      </c>
      <c r="D593">
        <v>142</v>
      </c>
      <c r="E593" s="17" t="s">
        <v>17</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630</v>
      </c>
      <c r="C594" t="s">
        <v>18</v>
      </c>
      <c r="D594">
        <v>153</v>
      </c>
      <c r="E594" s="17" t="s">
        <v>33</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631</v>
      </c>
      <c r="C595" t="s">
        <v>35</v>
      </c>
      <c r="D595">
        <v>128</v>
      </c>
      <c r="E595" s="17" t="s">
        <v>27</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632</v>
      </c>
      <c r="C596" t="s">
        <v>49</v>
      </c>
      <c r="D596">
        <v>110</v>
      </c>
      <c r="E596" s="17" t="s">
        <v>27</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633</v>
      </c>
      <c r="C597" t="s">
        <v>35</v>
      </c>
      <c r="D597">
        <v>139</v>
      </c>
      <c r="E597" s="17" t="s">
        <v>40</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634</v>
      </c>
      <c r="C598" t="s">
        <v>45</v>
      </c>
      <c r="D598">
        <v>109</v>
      </c>
      <c r="E598" s="17" t="s">
        <v>46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635</v>
      </c>
      <c r="C599" t="s">
        <v>22</v>
      </c>
      <c r="D599">
        <v>57</v>
      </c>
      <c r="E599" s="17" t="s">
        <v>17</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636</v>
      </c>
      <c r="C600" t="s">
        <v>45</v>
      </c>
      <c r="D600">
        <v>68</v>
      </c>
      <c r="E600" s="17" t="s">
        <v>40</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637</v>
      </c>
      <c r="C601" t="s">
        <v>32</v>
      </c>
      <c r="D601">
        <v>128</v>
      </c>
      <c r="E601" s="17" t="s">
        <v>40</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638</v>
      </c>
      <c r="C602" t="s">
        <v>16</v>
      </c>
      <c r="D602">
        <v>102</v>
      </c>
      <c r="E602" s="17" t="s">
        <v>17</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639</v>
      </c>
      <c r="C603" t="s">
        <v>35</v>
      </c>
      <c r="D603">
        <v>52</v>
      </c>
      <c r="E603" s="17" t="s">
        <v>33</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640</v>
      </c>
      <c r="C604" t="s">
        <v>32</v>
      </c>
      <c r="D604">
        <v>55</v>
      </c>
      <c r="E604" s="17" t="s">
        <v>27</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641</v>
      </c>
      <c r="C605" t="s">
        <v>30</v>
      </c>
      <c r="D605">
        <v>107</v>
      </c>
      <c r="E605" s="17" t="s">
        <v>40</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642</v>
      </c>
      <c r="C606" t="s">
        <v>23</v>
      </c>
      <c r="D606">
        <v>88</v>
      </c>
      <c r="E606" s="17" t="s">
        <v>33</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643</v>
      </c>
      <c r="C607" t="s">
        <v>37</v>
      </c>
      <c r="D607">
        <v>49</v>
      </c>
      <c r="E607" s="17" t="s">
        <v>33</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644</v>
      </c>
      <c r="C608" t="s">
        <v>23</v>
      </c>
      <c r="D608">
        <v>72</v>
      </c>
      <c r="E608" s="17" t="s">
        <v>17</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645</v>
      </c>
      <c r="C609" t="s">
        <v>22</v>
      </c>
      <c r="D609">
        <v>50</v>
      </c>
      <c r="E609" s="17" t="s">
        <v>17</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646</v>
      </c>
      <c r="C610" t="s">
        <v>23</v>
      </c>
      <c r="D610">
        <v>52</v>
      </c>
      <c r="E610" s="17" t="s">
        <v>40</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647</v>
      </c>
      <c r="C611" t="s">
        <v>26</v>
      </c>
      <c r="D611">
        <v>85</v>
      </c>
      <c r="E611" s="17" t="s">
        <v>46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648</v>
      </c>
      <c r="C612" t="s">
        <v>43</v>
      </c>
      <c r="D612">
        <v>98</v>
      </c>
      <c r="E612" s="17" t="s">
        <v>46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649</v>
      </c>
      <c r="C613" t="s">
        <v>54</v>
      </c>
      <c r="D613">
        <v>52</v>
      </c>
      <c r="E613" s="17" t="s">
        <v>46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650</v>
      </c>
      <c r="C614" t="s">
        <v>32</v>
      </c>
      <c r="D614">
        <v>154</v>
      </c>
      <c r="E614" s="17" t="s">
        <v>33</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651</v>
      </c>
      <c r="C615" t="s">
        <v>41</v>
      </c>
      <c r="D615">
        <v>131</v>
      </c>
      <c r="E615" s="17" t="s">
        <v>27</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652</v>
      </c>
      <c r="C616" t="s">
        <v>26</v>
      </c>
      <c r="D616">
        <v>73</v>
      </c>
      <c r="E616" s="17" t="s">
        <v>27</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653</v>
      </c>
      <c r="C617" t="s">
        <v>49</v>
      </c>
      <c r="D617">
        <v>45</v>
      </c>
      <c r="E617" s="17" t="s">
        <v>46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654</v>
      </c>
      <c r="C618" t="s">
        <v>35</v>
      </c>
      <c r="D618">
        <v>114</v>
      </c>
      <c r="E618" s="17" t="s">
        <v>40</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655</v>
      </c>
      <c r="C619" t="s">
        <v>43</v>
      </c>
      <c r="D619">
        <v>69</v>
      </c>
      <c r="E619" s="17" t="s">
        <v>27</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656</v>
      </c>
      <c r="C620" t="s">
        <v>41</v>
      </c>
      <c r="D620">
        <v>33</v>
      </c>
      <c r="E620" s="17" t="s">
        <v>33</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657</v>
      </c>
      <c r="C621" t="s">
        <v>22</v>
      </c>
      <c r="D621">
        <v>31</v>
      </c>
      <c r="E621" s="17" t="s">
        <v>17</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658</v>
      </c>
      <c r="C622" t="s">
        <v>49</v>
      </c>
      <c r="D622">
        <v>168</v>
      </c>
      <c r="E622" s="17" t="s">
        <v>33</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659</v>
      </c>
      <c r="C623" t="s">
        <v>26</v>
      </c>
      <c r="D623">
        <v>111</v>
      </c>
      <c r="E623" s="17" t="s">
        <v>40</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660</v>
      </c>
      <c r="C624" t="s">
        <v>22</v>
      </c>
      <c r="D624">
        <v>80</v>
      </c>
      <c r="E624" s="17" t="s">
        <v>33</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661</v>
      </c>
      <c r="C625" t="s">
        <v>16</v>
      </c>
      <c r="D625">
        <v>37</v>
      </c>
      <c r="E625" s="17" t="s">
        <v>33</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662</v>
      </c>
      <c r="C626" t="s">
        <v>18</v>
      </c>
      <c r="D626">
        <v>137</v>
      </c>
      <c r="E626" s="17" t="s">
        <v>33</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663</v>
      </c>
      <c r="C627" t="s">
        <v>43</v>
      </c>
      <c r="D627">
        <v>123</v>
      </c>
      <c r="E627" s="17" t="s">
        <v>40</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664</v>
      </c>
      <c r="C628" t="s">
        <v>50</v>
      </c>
      <c r="D628">
        <v>105</v>
      </c>
      <c r="E628" s="17" t="s">
        <v>40</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665</v>
      </c>
      <c r="C629" t="s">
        <v>16</v>
      </c>
      <c r="D629">
        <v>76</v>
      </c>
      <c r="E629" s="17" t="s">
        <v>46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666</v>
      </c>
      <c r="C630" t="s">
        <v>22</v>
      </c>
      <c r="D630">
        <v>144</v>
      </c>
      <c r="E630" s="17" t="s">
        <v>46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667</v>
      </c>
      <c r="C631" t="s">
        <v>41</v>
      </c>
      <c r="D631">
        <v>109</v>
      </c>
      <c r="E631" s="17" t="s">
        <v>17</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668</v>
      </c>
      <c r="C632" t="s">
        <v>43</v>
      </c>
      <c r="D632">
        <v>172</v>
      </c>
      <c r="E632" s="17" t="s">
        <v>33</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669</v>
      </c>
      <c r="C633" t="s">
        <v>22</v>
      </c>
      <c r="D633">
        <v>56</v>
      </c>
      <c r="E633" s="17" t="s">
        <v>40</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670</v>
      </c>
      <c r="C634" t="s">
        <v>22</v>
      </c>
      <c r="D634">
        <v>121</v>
      </c>
      <c r="E634" s="17" t="s">
        <v>27</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671</v>
      </c>
      <c r="C635" t="s">
        <v>43</v>
      </c>
      <c r="D635">
        <v>41</v>
      </c>
      <c r="E635" s="17" t="s">
        <v>40</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672</v>
      </c>
      <c r="C636" t="s">
        <v>30</v>
      </c>
      <c r="D636">
        <v>60</v>
      </c>
      <c r="E636" s="17" t="s">
        <v>33</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673</v>
      </c>
      <c r="C637" t="s">
        <v>30</v>
      </c>
      <c r="D637">
        <v>144</v>
      </c>
      <c r="E637" s="17" t="s">
        <v>33</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674</v>
      </c>
      <c r="C638" t="s">
        <v>32</v>
      </c>
      <c r="D638">
        <v>67</v>
      </c>
      <c r="E638" s="17" t="s">
        <v>33</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675</v>
      </c>
      <c r="C639" t="s">
        <v>43</v>
      </c>
      <c r="D639">
        <v>162</v>
      </c>
      <c r="E639" s="17" t="s">
        <v>17</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676</v>
      </c>
      <c r="C640" t="s">
        <v>30</v>
      </c>
      <c r="D640">
        <v>87</v>
      </c>
      <c r="E640" s="17" t="s">
        <v>27</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677</v>
      </c>
      <c r="C641" t="s">
        <v>54</v>
      </c>
      <c r="D641">
        <v>10</v>
      </c>
      <c r="E641" s="17" t="s">
        <v>46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678</v>
      </c>
      <c r="C642" t="s">
        <v>22</v>
      </c>
      <c r="D642">
        <v>138</v>
      </c>
      <c r="E642" s="17" t="s">
        <v>46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679</v>
      </c>
      <c r="C643" t="s">
        <v>43</v>
      </c>
      <c r="D643">
        <v>31</v>
      </c>
      <c r="E643" s="17" t="s">
        <v>46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680</v>
      </c>
      <c r="C644" t="s">
        <v>50</v>
      </c>
      <c r="D644">
        <v>75</v>
      </c>
      <c r="E644" s="17" t="s">
        <v>17</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681</v>
      </c>
      <c r="C645" t="s">
        <v>16</v>
      </c>
      <c r="D645">
        <v>65</v>
      </c>
      <c r="E645" s="17" t="s">
        <v>17</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682</v>
      </c>
      <c r="C646" t="s">
        <v>26</v>
      </c>
      <c r="D646">
        <v>106</v>
      </c>
      <c r="E646" s="17" t="s">
        <v>40</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683</v>
      </c>
      <c r="C647" t="s">
        <v>16</v>
      </c>
      <c r="D647">
        <v>107</v>
      </c>
      <c r="E647" s="17" t="s">
        <v>40</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684</v>
      </c>
      <c r="C648" t="s">
        <v>18</v>
      </c>
      <c r="D648">
        <v>78</v>
      </c>
      <c r="E648" s="17" t="s">
        <v>40</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685</v>
      </c>
      <c r="C649" t="s">
        <v>23</v>
      </c>
      <c r="D649">
        <v>122</v>
      </c>
      <c r="E649" s="17" t="s">
        <v>40</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686</v>
      </c>
      <c r="C650" t="s">
        <v>22</v>
      </c>
      <c r="D650">
        <v>58</v>
      </c>
      <c r="E650" s="17" t="s">
        <v>46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687</v>
      </c>
      <c r="C651" t="s">
        <v>18</v>
      </c>
      <c r="D651">
        <v>33</v>
      </c>
      <c r="E651" s="17" t="s">
        <v>33</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688</v>
      </c>
      <c r="C652" t="s">
        <v>41</v>
      </c>
      <c r="D652">
        <v>164</v>
      </c>
      <c r="E652" s="17" t="s">
        <v>17</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689</v>
      </c>
      <c r="C653" t="s">
        <v>50</v>
      </c>
      <c r="D653">
        <v>163</v>
      </c>
      <c r="E653" s="17" t="s">
        <v>27</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690</v>
      </c>
      <c r="C654" t="s">
        <v>37</v>
      </c>
      <c r="D654">
        <v>71</v>
      </c>
      <c r="E654" s="17" t="s">
        <v>17</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691</v>
      </c>
      <c r="C655" t="s">
        <v>18</v>
      </c>
      <c r="D655">
        <v>103</v>
      </c>
      <c r="E655" s="17" t="s">
        <v>46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692</v>
      </c>
      <c r="C656" t="s">
        <v>35</v>
      </c>
      <c r="D656">
        <v>69</v>
      </c>
      <c r="E656" s="17" t="s">
        <v>27</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693</v>
      </c>
      <c r="C657" t="s">
        <v>50</v>
      </c>
      <c r="D657">
        <v>111</v>
      </c>
      <c r="E657" s="17" t="s">
        <v>46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694</v>
      </c>
      <c r="C658" t="s">
        <v>45</v>
      </c>
      <c r="D658">
        <v>97</v>
      </c>
      <c r="E658" s="17" t="s">
        <v>27</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695</v>
      </c>
      <c r="C659" t="s">
        <v>49</v>
      </c>
      <c r="D659">
        <v>144</v>
      </c>
      <c r="E659" s="17" t="s">
        <v>40</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696</v>
      </c>
      <c r="C660" t="s">
        <v>26</v>
      </c>
      <c r="D660">
        <v>56</v>
      </c>
      <c r="E660" s="17" t="s">
        <v>27</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697</v>
      </c>
      <c r="C661" t="s">
        <v>49</v>
      </c>
      <c r="D661">
        <v>132</v>
      </c>
      <c r="E661" s="17" t="s">
        <v>40</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698</v>
      </c>
      <c r="C662" t="s">
        <v>37</v>
      </c>
      <c r="D662">
        <v>72</v>
      </c>
      <c r="E662" s="17" t="s">
        <v>33</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699</v>
      </c>
      <c r="C663" t="s">
        <v>50</v>
      </c>
      <c r="D663">
        <v>18</v>
      </c>
      <c r="E663" s="17" t="s">
        <v>33</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700</v>
      </c>
      <c r="C664" t="s">
        <v>32</v>
      </c>
      <c r="D664">
        <v>115</v>
      </c>
      <c r="E664" s="17" t="s">
        <v>46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701</v>
      </c>
      <c r="C665" t="s">
        <v>32</v>
      </c>
      <c r="D665">
        <v>124</v>
      </c>
      <c r="E665" s="17" t="s">
        <v>27</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702</v>
      </c>
      <c r="C666" t="s">
        <v>22</v>
      </c>
      <c r="D666">
        <v>130</v>
      </c>
      <c r="E666" s="17" t="s">
        <v>27</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703</v>
      </c>
      <c r="C667" t="s">
        <v>54</v>
      </c>
      <c r="D667">
        <v>120</v>
      </c>
      <c r="E667" s="17" t="s">
        <v>17</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704</v>
      </c>
      <c r="C668" t="s">
        <v>45</v>
      </c>
      <c r="D668">
        <v>75</v>
      </c>
      <c r="E668" s="17" t="s">
        <v>46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705</v>
      </c>
      <c r="C669" t="s">
        <v>16</v>
      </c>
      <c r="D669">
        <v>63</v>
      </c>
      <c r="E669" s="17" t="s">
        <v>46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706</v>
      </c>
      <c r="C670" t="s">
        <v>49</v>
      </c>
      <c r="D670">
        <v>74</v>
      </c>
      <c r="E670" s="17" t="s">
        <v>46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707</v>
      </c>
      <c r="C671" t="s">
        <v>35</v>
      </c>
      <c r="D671">
        <v>134</v>
      </c>
      <c r="E671" s="17" t="s">
        <v>40</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708</v>
      </c>
      <c r="C672" t="s">
        <v>50</v>
      </c>
      <c r="D672">
        <v>103</v>
      </c>
      <c r="E672" s="17" t="s">
        <v>27</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709</v>
      </c>
      <c r="C673" t="s">
        <v>50</v>
      </c>
      <c r="D673">
        <v>155</v>
      </c>
      <c r="E673" s="17" t="s">
        <v>17</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710</v>
      </c>
      <c r="C674" t="s">
        <v>16</v>
      </c>
      <c r="D674">
        <v>128</v>
      </c>
      <c r="E674" s="17" t="s">
        <v>27</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711</v>
      </c>
      <c r="C675" t="s">
        <v>45</v>
      </c>
      <c r="D675">
        <v>89</v>
      </c>
      <c r="E675" s="17" t="s">
        <v>40</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712</v>
      </c>
      <c r="C676" t="s">
        <v>32</v>
      </c>
      <c r="D676">
        <v>81</v>
      </c>
      <c r="E676" s="17" t="s">
        <v>17</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713</v>
      </c>
      <c r="C677" t="s">
        <v>45</v>
      </c>
      <c r="D677">
        <v>66</v>
      </c>
      <c r="E677" s="17" t="s">
        <v>40</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714</v>
      </c>
      <c r="C678" t="s">
        <v>37</v>
      </c>
      <c r="D678">
        <v>61</v>
      </c>
      <c r="E678" s="17" t="s">
        <v>33</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715</v>
      </c>
      <c r="C679" t="s">
        <v>32</v>
      </c>
      <c r="D679">
        <v>128</v>
      </c>
      <c r="E679" s="17" t="s">
        <v>33</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716</v>
      </c>
      <c r="C680" t="s">
        <v>50</v>
      </c>
      <c r="D680">
        <v>30</v>
      </c>
      <c r="E680" s="17" t="s">
        <v>17</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717</v>
      </c>
      <c r="C681" t="s">
        <v>41</v>
      </c>
      <c r="D681">
        <v>63</v>
      </c>
      <c r="E681" s="17" t="s">
        <v>33</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718</v>
      </c>
      <c r="C682" t="s">
        <v>23</v>
      </c>
      <c r="D682">
        <v>64</v>
      </c>
      <c r="E682" s="17" t="s">
        <v>46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719</v>
      </c>
      <c r="C683" t="s">
        <v>30</v>
      </c>
      <c r="D683">
        <v>151</v>
      </c>
      <c r="E683" s="17" t="s">
        <v>27</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720</v>
      </c>
      <c r="C684" t="s">
        <v>18</v>
      </c>
      <c r="D684">
        <v>116</v>
      </c>
      <c r="E684" s="17" t="s">
        <v>40</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721</v>
      </c>
      <c r="C685" t="s">
        <v>30</v>
      </c>
      <c r="D685">
        <v>111</v>
      </c>
      <c r="E685" s="17" t="s">
        <v>40</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722</v>
      </c>
      <c r="C686" t="s">
        <v>32</v>
      </c>
      <c r="D686">
        <v>15</v>
      </c>
      <c r="E686" s="17" t="s">
        <v>40</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723</v>
      </c>
      <c r="C687" t="s">
        <v>23</v>
      </c>
      <c r="D687">
        <v>18</v>
      </c>
      <c r="E687" s="17" t="s">
        <v>27</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724</v>
      </c>
      <c r="C688" t="s">
        <v>37</v>
      </c>
      <c r="D688">
        <v>146</v>
      </c>
      <c r="E688" s="17" t="s">
        <v>33</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725</v>
      </c>
      <c r="C689" t="s">
        <v>50</v>
      </c>
      <c r="D689">
        <v>73</v>
      </c>
      <c r="E689" s="17" t="s">
        <v>40</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726</v>
      </c>
      <c r="C690" t="s">
        <v>30</v>
      </c>
      <c r="D690">
        <v>108</v>
      </c>
      <c r="E690" s="17" t="s">
        <v>27</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727</v>
      </c>
      <c r="C691" t="s">
        <v>35</v>
      </c>
      <c r="D691">
        <v>52</v>
      </c>
      <c r="E691" s="17" t="s">
        <v>27</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728</v>
      </c>
      <c r="C692" t="s">
        <v>18</v>
      </c>
      <c r="D692">
        <v>165</v>
      </c>
      <c r="E692" s="17" t="s">
        <v>46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729</v>
      </c>
      <c r="C693" t="s">
        <v>37</v>
      </c>
      <c r="D693">
        <v>104</v>
      </c>
      <c r="E693" s="17" t="s">
        <v>40</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730</v>
      </c>
      <c r="C694" t="s">
        <v>50</v>
      </c>
      <c r="D694">
        <v>131</v>
      </c>
      <c r="E694" s="17" t="s">
        <v>33</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731</v>
      </c>
      <c r="C695" t="s">
        <v>54</v>
      </c>
      <c r="D695">
        <v>80</v>
      </c>
      <c r="E695" s="17" t="s">
        <v>46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732</v>
      </c>
      <c r="C696" t="s">
        <v>32</v>
      </c>
      <c r="D696">
        <v>49</v>
      </c>
      <c r="E696" s="17" t="s">
        <v>40</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733</v>
      </c>
      <c r="C697" t="s">
        <v>18</v>
      </c>
      <c r="D697">
        <v>73</v>
      </c>
      <c r="E697" s="17" t="s">
        <v>40</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734</v>
      </c>
      <c r="C698" t="s">
        <v>37</v>
      </c>
      <c r="D698">
        <v>117</v>
      </c>
      <c r="E698" s="17" t="s">
        <v>46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735</v>
      </c>
      <c r="C699" t="s">
        <v>26</v>
      </c>
      <c r="D699">
        <v>38</v>
      </c>
      <c r="E699" s="17" t="s">
        <v>17</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736</v>
      </c>
      <c r="C700" t="s">
        <v>35</v>
      </c>
      <c r="D700">
        <v>109</v>
      </c>
      <c r="E700" s="17" t="s">
        <v>46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737</v>
      </c>
      <c r="C701" t="s">
        <v>32</v>
      </c>
      <c r="D701">
        <v>70</v>
      </c>
      <c r="E701" s="17" t="s">
        <v>27</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738</v>
      </c>
      <c r="C702" t="s">
        <v>22</v>
      </c>
      <c r="D702">
        <v>51</v>
      </c>
      <c r="E702" s="17" t="s">
        <v>17</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739</v>
      </c>
      <c r="C703" t="s">
        <v>22</v>
      </c>
      <c r="D703">
        <v>100</v>
      </c>
      <c r="E703" s="17" t="s">
        <v>27</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740</v>
      </c>
      <c r="C704" t="s">
        <v>49</v>
      </c>
      <c r="D704">
        <v>124</v>
      </c>
      <c r="E704" s="17" t="s">
        <v>17</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741</v>
      </c>
      <c r="C705" t="s">
        <v>16</v>
      </c>
      <c r="D705">
        <v>143</v>
      </c>
      <c r="E705" s="17" t="s">
        <v>46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742</v>
      </c>
      <c r="C706" t="s">
        <v>45</v>
      </c>
      <c r="D706">
        <v>96</v>
      </c>
      <c r="E706" s="17" t="s">
        <v>40</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743</v>
      </c>
      <c r="C707" t="s">
        <v>18</v>
      </c>
      <c r="D707">
        <v>84</v>
      </c>
      <c r="E707" s="17" t="s">
        <v>27</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744</v>
      </c>
      <c r="C708" t="s">
        <v>43</v>
      </c>
      <c r="D708">
        <v>111</v>
      </c>
      <c r="E708" s="17" t="s">
        <v>27</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745</v>
      </c>
      <c r="C709" t="s">
        <v>43</v>
      </c>
      <c r="D709">
        <v>103</v>
      </c>
      <c r="E709" s="17" t="s">
        <v>17</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746</v>
      </c>
      <c r="C710" t="s">
        <v>16</v>
      </c>
      <c r="D710">
        <v>61</v>
      </c>
      <c r="E710" s="17" t="s">
        <v>33</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747</v>
      </c>
      <c r="C711" t="s">
        <v>50</v>
      </c>
      <c r="D711">
        <v>113</v>
      </c>
      <c r="E711" s="17" t="s">
        <v>40</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748</v>
      </c>
      <c r="C712" t="s">
        <v>50</v>
      </c>
      <c r="D712">
        <v>96</v>
      </c>
      <c r="E712" s="17" t="s">
        <v>40</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749</v>
      </c>
      <c r="C713" t="s">
        <v>23</v>
      </c>
      <c r="D713">
        <v>131</v>
      </c>
      <c r="E713" s="17" t="s">
        <v>17</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750</v>
      </c>
      <c r="C714" t="s">
        <v>37</v>
      </c>
      <c r="D714">
        <v>52</v>
      </c>
      <c r="E714" s="17" t="s">
        <v>40</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751</v>
      </c>
      <c r="C715" t="s">
        <v>22</v>
      </c>
      <c r="D715">
        <v>100</v>
      </c>
      <c r="E715" s="17" t="s">
        <v>17</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752</v>
      </c>
      <c r="C716" t="s">
        <v>30</v>
      </c>
      <c r="D716">
        <v>58</v>
      </c>
      <c r="E716" s="17" t="s">
        <v>46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753</v>
      </c>
      <c r="C717" t="s">
        <v>32</v>
      </c>
      <c r="D717">
        <v>144</v>
      </c>
      <c r="E717" s="17" t="s">
        <v>46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754</v>
      </c>
      <c r="C718" t="s">
        <v>30</v>
      </c>
      <c r="D718">
        <v>53</v>
      </c>
      <c r="E718" s="17" t="s">
        <v>33</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755</v>
      </c>
      <c r="C719" t="s">
        <v>50</v>
      </c>
      <c r="D719">
        <v>97</v>
      </c>
      <c r="E719" s="17" t="s">
        <v>27</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756</v>
      </c>
      <c r="C720" t="s">
        <v>26</v>
      </c>
      <c r="D720">
        <v>64</v>
      </c>
      <c r="E720" s="17" t="s">
        <v>46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757</v>
      </c>
      <c r="C721" t="s">
        <v>16</v>
      </c>
      <c r="D721">
        <v>106</v>
      </c>
      <c r="E721" s="17" t="s">
        <v>17</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758</v>
      </c>
      <c r="C722" t="s">
        <v>18</v>
      </c>
      <c r="D722">
        <v>36</v>
      </c>
      <c r="E722" s="17" t="s">
        <v>46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759</v>
      </c>
      <c r="C723" t="s">
        <v>32</v>
      </c>
      <c r="D723">
        <v>74</v>
      </c>
      <c r="E723" s="17" t="s">
        <v>40</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760</v>
      </c>
      <c r="C724" t="s">
        <v>35</v>
      </c>
      <c r="D724">
        <v>143</v>
      </c>
      <c r="E724" s="17" t="s">
        <v>27</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761</v>
      </c>
      <c r="C725" t="s">
        <v>16</v>
      </c>
      <c r="D725">
        <v>94</v>
      </c>
      <c r="E725" s="17" t="s">
        <v>33</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762</v>
      </c>
      <c r="C726" t="s">
        <v>54</v>
      </c>
      <c r="D726">
        <v>124</v>
      </c>
      <c r="E726" s="17" t="s">
        <v>17</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763</v>
      </c>
      <c r="C727" t="s">
        <v>18</v>
      </c>
      <c r="D727">
        <v>156</v>
      </c>
      <c r="E727" s="17" t="s">
        <v>46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764</v>
      </c>
      <c r="C728" t="s">
        <v>45</v>
      </c>
      <c r="D728">
        <v>107</v>
      </c>
      <c r="E728" s="17" t="s">
        <v>27</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765</v>
      </c>
      <c r="C729" t="s">
        <v>16</v>
      </c>
      <c r="D729">
        <v>58</v>
      </c>
      <c r="E729" s="17" t="s">
        <v>27</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766</v>
      </c>
      <c r="C730" t="s">
        <v>49</v>
      </c>
      <c r="D730">
        <v>66</v>
      </c>
      <c r="E730" s="17" t="s">
        <v>27</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767</v>
      </c>
      <c r="C731" t="s">
        <v>23</v>
      </c>
      <c r="D731">
        <v>75</v>
      </c>
      <c r="E731" s="17" t="s">
        <v>46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768</v>
      </c>
      <c r="C732" t="s">
        <v>45</v>
      </c>
      <c r="D732">
        <v>8</v>
      </c>
      <c r="E732" s="17" t="s">
        <v>27</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769</v>
      </c>
      <c r="C733" t="s">
        <v>26</v>
      </c>
      <c r="D733">
        <v>76</v>
      </c>
      <c r="E733" s="17" t="s">
        <v>46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770</v>
      </c>
      <c r="C734" t="s">
        <v>16</v>
      </c>
      <c r="D734">
        <v>110</v>
      </c>
      <c r="E734" s="17" t="s">
        <v>46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771</v>
      </c>
      <c r="C735" t="s">
        <v>49</v>
      </c>
      <c r="D735">
        <v>50</v>
      </c>
      <c r="E735" s="17" t="s">
        <v>33</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772</v>
      </c>
      <c r="C736" t="s">
        <v>37</v>
      </c>
      <c r="D736">
        <v>78</v>
      </c>
      <c r="E736" s="17" t="s">
        <v>33</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773</v>
      </c>
      <c r="C737" t="s">
        <v>50</v>
      </c>
      <c r="D737">
        <v>59</v>
      </c>
      <c r="E737" s="17" t="s">
        <v>17</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774</v>
      </c>
      <c r="C738" t="s">
        <v>37</v>
      </c>
      <c r="D738">
        <v>126</v>
      </c>
      <c r="E738" s="17" t="s">
        <v>27</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775</v>
      </c>
      <c r="C739" t="s">
        <v>26</v>
      </c>
      <c r="D739">
        <v>43</v>
      </c>
      <c r="E739" s="17" t="s">
        <v>17</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776</v>
      </c>
      <c r="C740" t="s">
        <v>18</v>
      </c>
      <c r="D740">
        <v>79</v>
      </c>
      <c r="E740" s="17" t="s">
        <v>46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777</v>
      </c>
      <c r="C741" t="s">
        <v>16</v>
      </c>
      <c r="D741">
        <v>71</v>
      </c>
      <c r="E741" s="17" t="s">
        <v>17</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778</v>
      </c>
      <c r="C742" t="s">
        <v>43</v>
      </c>
      <c r="D742">
        <v>94</v>
      </c>
      <c r="E742" s="17" t="s">
        <v>27</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779</v>
      </c>
      <c r="C743" t="s">
        <v>45</v>
      </c>
      <c r="D743">
        <v>108</v>
      </c>
      <c r="E743" s="17" t="s">
        <v>17</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780</v>
      </c>
      <c r="C744" t="s">
        <v>26</v>
      </c>
      <c r="D744">
        <v>76</v>
      </c>
      <c r="E744" s="17" t="s">
        <v>27</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781</v>
      </c>
      <c r="C745" t="s">
        <v>50</v>
      </c>
      <c r="D745">
        <v>136</v>
      </c>
      <c r="E745" s="17" t="s">
        <v>17</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782</v>
      </c>
      <c r="C746" t="s">
        <v>22</v>
      </c>
      <c r="D746">
        <v>129</v>
      </c>
      <c r="E746" s="17" t="s">
        <v>33</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783</v>
      </c>
      <c r="C747" t="s">
        <v>45</v>
      </c>
      <c r="D747">
        <v>120</v>
      </c>
      <c r="E747" s="17" t="s">
        <v>17</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784</v>
      </c>
      <c r="C748" t="s">
        <v>26</v>
      </c>
      <c r="D748">
        <v>108</v>
      </c>
      <c r="E748" s="17" t="s">
        <v>33</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785</v>
      </c>
      <c r="C749" t="s">
        <v>37</v>
      </c>
      <c r="D749">
        <v>79</v>
      </c>
      <c r="E749" s="17" t="s">
        <v>17</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786</v>
      </c>
      <c r="C750" t="s">
        <v>37</v>
      </c>
      <c r="D750">
        <v>45</v>
      </c>
      <c r="E750" s="17" t="s">
        <v>33</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787</v>
      </c>
      <c r="C751" t="s">
        <v>32</v>
      </c>
      <c r="D751">
        <v>96</v>
      </c>
      <c r="E751" s="17" t="s">
        <v>17</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788</v>
      </c>
      <c r="C752" t="s">
        <v>32</v>
      </c>
      <c r="D752">
        <v>81</v>
      </c>
      <c r="E752" s="17" t="s">
        <v>17</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789</v>
      </c>
      <c r="C753" t="s">
        <v>50</v>
      </c>
      <c r="D753">
        <v>95</v>
      </c>
      <c r="E753" s="17" t="s">
        <v>40</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790</v>
      </c>
      <c r="C754" t="s">
        <v>54</v>
      </c>
      <c r="D754">
        <v>159</v>
      </c>
      <c r="E754" s="17" t="s">
        <v>27</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791</v>
      </c>
      <c r="C755" t="s">
        <v>41</v>
      </c>
      <c r="D755">
        <v>109</v>
      </c>
      <c r="E755" s="17" t="s">
        <v>46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792</v>
      </c>
      <c r="C756" t="s">
        <v>37</v>
      </c>
      <c r="D756">
        <v>107</v>
      </c>
      <c r="E756" s="17" t="s">
        <v>46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793</v>
      </c>
      <c r="C757" t="s">
        <v>32</v>
      </c>
      <c r="D757">
        <v>67</v>
      </c>
      <c r="E757" s="17" t="s">
        <v>33</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794</v>
      </c>
      <c r="C758" t="s">
        <v>23</v>
      </c>
      <c r="D758">
        <v>96</v>
      </c>
      <c r="E758" s="17" t="s">
        <v>17</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795</v>
      </c>
      <c r="C759" t="s">
        <v>35</v>
      </c>
      <c r="D759">
        <v>142</v>
      </c>
      <c r="E759" s="17" t="s">
        <v>27</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796</v>
      </c>
      <c r="C760" t="s">
        <v>35</v>
      </c>
      <c r="D760">
        <v>71</v>
      </c>
      <c r="E760" s="17" t="s">
        <v>40</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797</v>
      </c>
      <c r="C761" t="s">
        <v>23</v>
      </c>
      <c r="D761">
        <v>152</v>
      </c>
      <c r="E761" s="17" t="s">
        <v>40</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798</v>
      </c>
      <c r="C762" t="s">
        <v>18</v>
      </c>
      <c r="D762">
        <v>108</v>
      </c>
      <c r="E762" s="17" t="s">
        <v>27</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799</v>
      </c>
      <c r="C763" t="s">
        <v>18</v>
      </c>
      <c r="D763">
        <v>156</v>
      </c>
      <c r="E763" s="17" t="s">
        <v>40</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800</v>
      </c>
      <c r="C764" t="s">
        <v>35</v>
      </c>
      <c r="D764">
        <v>126</v>
      </c>
      <c r="E764" s="17" t="s">
        <v>27</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801</v>
      </c>
      <c r="C765" t="s">
        <v>26</v>
      </c>
      <c r="D765">
        <v>135</v>
      </c>
      <c r="E765" s="17" t="s">
        <v>40</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802</v>
      </c>
      <c r="C766" t="s">
        <v>35</v>
      </c>
      <c r="D766">
        <v>110</v>
      </c>
      <c r="E766" s="17" t="s">
        <v>17</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803</v>
      </c>
      <c r="C767" t="s">
        <v>54</v>
      </c>
      <c r="D767">
        <v>64</v>
      </c>
      <c r="E767" s="17" t="s">
        <v>40</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804</v>
      </c>
      <c r="C768" t="s">
        <v>43</v>
      </c>
      <c r="D768">
        <v>127</v>
      </c>
      <c r="E768" s="17" t="s">
        <v>27</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805</v>
      </c>
      <c r="C769" t="s">
        <v>41</v>
      </c>
      <c r="D769">
        <v>124</v>
      </c>
      <c r="E769" s="17" t="s">
        <v>33</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806</v>
      </c>
      <c r="C770" t="s">
        <v>54</v>
      </c>
      <c r="D770">
        <v>125</v>
      </c>
      <c r="E770" s="17" t="s">
        <v>27</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807</v>
      </c>
      <c r="C771" t="s">
        <v>22</v>
      </c>
      <c r="D771">
        <v>70</v>
      </c>
      <c r="E771" s="17" t="s">
        <v>27</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808</v>
      </c>
      <c r="C772" t="s">
        <v>43</v>
      </c>
      <c r="D772">
        <v>93</v>
      </c>
      <c r="E772" s="17" t="s">
        <v>40</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809</v>
      </c>
      <c r="C773" t="s">
        <v>22</v>
      </c>
      <c r="D773">
        <v>120</v>
      </c>
      <c r="E773" s="17" t="s">
        <v>46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810</v>
      </c>
      <c r="C774" t="s">
        <v>32</v>
      </c>
      <c r="D774">
        <v>96</v>
      </c>
      <c r="E774" s="17" t="s">
        <v>17</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811</v>
      </c>
      <c r="C775" t="s">
        <v>30</v>
      </c>
      <c r="D775">
        <v>67</v>
      </c>
      <c r="E775" s="17" t="s">
        <v>17</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812</v>
      </c>
      <c r="C776" t="s">
        <v>54</v>
      </c>
      <c r="D776">
        <v>119</v>
      </c>
      <c r="E776" s="17" t="s">
        <v>17</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813</v>
      </c>
      <c r="C777" t="s">
        <v>41</v>
      </c>
      <c r="D777">
        <v>61</v>
      </c>
      <c r="E777" s="17" t="s">
        <v>33</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814</v>
      </c>
      <c r="C778" t="s">
        <v>32</v>
      </c>
      <c r="D778">
        <v>29</v>
      </c>
      <c r="E778" s="17" t="s">
        <v>40</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815</v>
      </c>
      <c r="C779" t="s">
        <v>23</v>
      </c>
      <c r="D779">
        <v>134</v>
      </c>
      <c r="E779" s="17" t="s">
        <v>46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816</v>
      </c>
      <c r="C780" t="s">
        <v>35</v>
      </c>
      <c r="D780">
        <v>113</v>
      </c>
      <c r="E780" s="17" t="s">
        <v>17</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817</v>
      </c>
      <c r="C781" t="s">
        <v>18</v>
      </c>
      <c r="D781">
        <v>12</v>
      </c>
      <c r="E781" s="17" t="s">
        <v>46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818</v>
      </c>
      <c r="C782" t="s">
        <v>49</v>
      </c>
      <c r="D782">
        <v>78</v>
      </c>
      <c r="E782" s="17" t="s">
        <v>40</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819</v>
      </c>
      <c r="C783" t="s">
        <v>54</v>
      </c>
      <c r="D783">
        <v>82</v>
      </c>
      <c r="E783" s="17" t="s">
        <v>27</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820</v>
      </c>
      <c r="C784" t="s">
        <v>45</v>
      </c>
      <c r="D784">
        <v>149</v>
      </c>
      <c r="E784" s="17" t="s">
        <v>33</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821</v>
      </c>
      <c r="C785" t="s">
        <v>37</v>
      </c>
      <c r="D785">
        <v>56</v>
      </c>
      <c r="E785" s="17" t="s">
        <v>46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822</v>
      </c>
      <c r="C786" t="s">
        <v>32</v>
      </c>
      <c r="D786">
        <v>80</v>
      </c>
      <c r="E786" s="17" t="s">
        <v>33</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823</v>
      </c>
      <c r="C787" t="s">
        <v>41</v>
      </c>
      <c r="D787">
        <v>131</v>
      </c>
      <c r="E787" s="17" t="s">
        <v>17</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824</v>
      </c>
      <c r="C788" t="s">
        <v>41</v>
      </c>
      <c r="D788">
        <v>109</v>
      </c>
      <c r="E788" s="17" t="s">
        <v>17</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825</v>
      </c>
      <c r="C789" t="s">
        <v>37</v>
      </c>
      <c r="D789">
        <v>142</v>
      </c>
      <c r="E789" s="17" t="s">
        <v>17</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826</v>
      </c>
      <c r="C790" t="s">
        <v>43</v>
      </c>
      <c r="D790">
        <v>114</v>
      </c>
      <c r="E790" s="17" t="s">
        <v>46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827</v>
      </c>
      <c r="C791" t="s">
        <v>30</v>
      </c>
      <c r="D791">
        <v>93</v>
      </c>
      <c r="E791" s="17" t="s">
        <v>33</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828</v>
      </c>
      <c r="C792" t="s">
        <v>18</v>
      </c>
      <c r="D792">
        <v>43</v>
      </c>
      <c r="E792" s="17" t="s">
        <v>33</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829</v>
      </c>
      <c r="C793" t="s">
        <v>23</v>
      </c>
      <c r="D793">
        <v>78</v>
      </c>
      <c r="E793" s="17" t="s">
        <v>40</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830</v>
      </c>
      <c r="C794" t="s">
        <v>43</v>
      </c>
      <c r="D794">
        <v>89</v>
      </c>
      <c r="E794" s="17" t="s">
        <v>17</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831</v>
      </c>
      <c r="C795" t="s">
        <v>37</v>
      </c>
      <c r="D795">
        <v>82</v>
      </c>
      <c r="E795" s="17" t="s">
        <v>27</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832</v>
      </c>
      <c r="C796" t="s">
        <v>32</v>
      </c>
      <c r="D796">
        <v>86</v>
      </c>
      <c r="E796" s="17" t="s">
        <v>17</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833</v>
      </c>
      <c r="C797" t="s">
        <v>50</v>
      </c>
      <c r="D797">
        <v>57</v>
      </c>
      <c r="E797" s="17" t="s">
        <v>40</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834</v>
      </c>
      <c r="C798" t="s">
        <v>30</v>
      </c>
      <c r="D798">
        <v>103</v>
      </c>
      <c r="E798" s="17" t="s">
        <v>46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835</v>
      </c>
      <c r="C799" t="s">
        <v>49</v>
      </c>
      <c r="D799">
        <v>138</v>
      </c>
      <c r="E799" s="17" t="s">
        <v>40</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836</v>
      </c>
      <c r="C800" t="s">
        <v>45</v>
      </c>
      <c r="D800">
        <v>88</v>
      </c>
      <c r="E800" s="17" t="s">
        <v>27</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837</v>
      </c>
      <c r="C801" t="s">
        <v>43</v>
      </c>
      <c r="D801">
        <v>118</v>
      </c>
      <c r="E801" s="17" t="s">
        <v>33</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838</v>
      </c>
      <c r="C802" t="s">
        <v>32</v>
      </c>
      <c r="D802">
        <v>4</v>
      </c>
      <c r="E802" s="17" t="s">
        <v>17</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839</v>
      </c>
      <c r="C803" t="s">
        <v>18</v>
      </c>
      <c r="D803">
        <v>78</v>
      </c>
      <c r="E803" s="17" t="s">
        <v>46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840</v>
      </c>
      <c r="C804" t="s">
        <v>35</v>
      </c>
      <c r="D804">
        <v>69</v>
      </c>
      <c r="E804" s="17" t="s">
        <v>17</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841</v>
      </c>
      <c r="C805" t="s">
        <v>37</v>
      </c>
      <c r="D805">
        <v>90</v>
      </c>
      <c r="E805" s="17" t="s">
        <v>40</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842</v>
      </c>
      <c r="C806" t="s">
        <v>35</v>
      </c>
      <c r="D806">
        <v>134</v>
      </c>
      <c r="E806" s="17" t="s">
        <v>17</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843</v>
      </c>
      <c r="C807" t="s">
        <v>22</v>
      </c>
      <c r="D807">
        <v>65</v>
      </c>
      <c r="E807" s="17" t="s">
        <v>33</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844</v>
      </c>
      <c r="C808" t="s">
        <v>26</v>
      </c>
      <c r="D808">
        <v>54</v>
      </c>
      <c r="E808" s="17" t="s">
        <v>46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845</v>
      </c>
      <c r="C809" t="s">
        <v>26</v>
      </c>
      <c r="D809">
        <v>90</v>
      </c>
      <c r="E809" s="17" t="s">
        <v>46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846</v>
      </c>
      <c r="C810" t="s">
        <v>37</v>
      </c>
      <c r="D810">
        <v>66</v>
      </c>
      <c r="E810" s="17" t="s">
        <v>46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847</v>
      </c>
      <c r="C811" t="s">
        <v>32</v>
      </c>
      <c r="D811">
        <v>150</v>
      </c>
      <c r="E811" s="17" t="s">
        <v>46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848</v>
      </c>
      <c r="C812" t="s">
        <v>23</v>
      </c>
      <c r="D812">
        <v>18</v>
      </c>
      <c r="E812" s="17" t="s">
        <v>33</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849</v>
      </c>
      <c r="C813" t="s">
        <v>26</v>
      </c>
      <c r="D813">
        <v>87</v>
      </c>
      <c r="E813" s="17" t="s">
        <v>33</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850</v>
      </c>
      <c r="C814" t="s">
        <v>49</v>
      </c>
      <c r="D814">
        <v>94</v>
      </c>
      <c r="E814" s="17" t="s">
        <v>46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851</v>
      </c>
      <c r="C815" t="s">
        <v>50</v>
      </c>
      <c r="D815">
        <v>56</v>
      </c>
      <c r="E815" s="17" t="s">
        <v>46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852</v>
      </c>
      <c r="C816" t="s">
        <v>43</v>
      </c>
      <c r="D816">
        <v>41</v>
      </c>
      <c r="E816" s="17" t="s">
        <v>27</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853</v>
      </c>
      <c r="C817" t="s">
        <v>32</v>
      </c>
      <c r="D817">
        <v>119</v>
      </c>
      <c r="E817" s="17" t="s">
        <v>40</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854</v>
      </c>
      <c r="C818" t="s">
        <v>30</v>
      </c>
      <c r="D818">
        <v>108</v>
      </c>
      <c r="E818" s="17" t="s">
        <v>46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855</v>
      </c>
      <c r="C819" t="s">
        <v>18</v>
      </c>
      <c r="D819">
        <v>63</v>
      </c>
      <c r="E819" s="17" t="s">
        <v>17</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856</v>
      </c>
      <c r="C820" t="s">
        <v>54</v>
      </c>
      <c r="D820">
        <v>59</v>
      </c>
      <c r="E820" s="17" t="s">
        <v>46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857</v>
      </c>
      <c r="C821" t="s">
        <v>54</v>
      </c>
      <c r="D821">
        <v>90</v>
      </c>
      <c r="E821" s="17" t="s">
        <v>27</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858</v>
      </c>
      <c r="C822" t="s">
        <v>45</v>
      </c>
      <c r="D822">
        <v>55</v>
      </c>
      <c r="E822" s="17" t="s">
        <v>27</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859</v>
      </c>
      <c r="C823" t="s">
        <v>30</v>
      </c>
      <c r="D823">
        <v>84</v>
      </c>
      <c r="E823" s="17" t="s">
        <v>40</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860</v>
      </c>
      <c r="C824" t="s">
        <v>30</v>
      </c>
      <c r="D824">
        <v>150</v>
      </c>
      <c r="E824" s="17" t="s">
        <v>33</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861</v>
      </c>
      <c r="C825" t="s">
        <v>41</v>
      </c>
      <c r="D825">
        <v>69</v>
      </c>
      <c r="E825" s="17" t="s">
        <v>46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862</v>
      </c>
      <c r="C826" t="s">
        <v>16</v>
      </c>
      <c r="D826">
        <v>120</v>
      </c>
      <c r="E826" s="17" t="s">
        <v>27</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863</v>
      </c>
      <c r="C827" t="s">
        <v>26</v>
      </c>
      <c r="D827">
        <v>126</v>
      </c>
      <c r="E827" s="17" t="s">
        <v>40</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864</v>
      </c>
      <c r="C828" t="s">
        <v>41</v>
      </c>
      <c r="D828">
        <v>120</v>
      </c>
      <c r="E828" s="17" t="s">
        <v>17</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865</v>
      </c>
      <c r="C829" t="s">
        <v>26</v>
      </c>
      <c r="D829">
        <v>139</v>
      </c>
      <c r="E829" s="17" t="s">
        <v>27</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866</v>
      </c>
      <c r="C830" t="s">
        <v>45</v>
      </c>
      <c r="D830">
        <v>124</v>
      </c>
      <c r="E830" s="17" t="s">
        <v>46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867</v>
      </c>
      <c r="C831" t="s">
        <v>16</v>
      </c>
      <c r="D831">
        <v>108</v>
      </c>
      <c r="E831" s="17" t="s">
        <v>17</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868</v>
      </c>
      <c r="C832" t="s">
        <v>22</v>
      </c>
      <c r="D832">
        <v>132</v>
      </c>
      <c r="E832" s="17" t="s">
        <v>33</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869</v>
      </c>
      <c r="C833" t="s">
        <v>18</v>
      </c>
      <c r="D833">
        <v>67</v>
      </c>
      <c r="E833" s="17" t="s">
        <v>33</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870</v>
      </c>
      <c r="C834" t="s">
        <v>37</v>
      </c>
      <c r="D834">
        <v>125</v>
      </c>
      <c r="E834" s="17" t="s">
        <v>33</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871</v>
      </c>
      <c r="C835" t="s">
        <v>16</v>
      </c>
      <c r="D835">
        <v>23</v>
      </c>
      <c r="E835" s="17" t="s">
        <v>17</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872</v>
      </c>
      <c r="C836" t="s">
        <v>32</v>
      </c>
      <c r="D836">
        <v>131</v>
      </c>
      <c r="E836" s="17" t="s">
        <v>46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873</v>
      </c>
      <c r="C837" t="s">
        <v>22</v>
      </c>
      <c r="D837">
        <v>56</v>
      </c>
      <c r="E837" s="17" t="s">
        <v>27</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874</v>
      </c>
      <c r="C838" t="s">
        <v>32</v>
      </c>
      <c r="D838">
        <v>70</v>
      </c>
      <c r="E838" s="17" t="s">
        <v>46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875</v>
      </c>
      <c r="C839" t="s">
        <v>32</v>
      </c>
      <c r="D839">
        <v>55</v>
      </c>
      <c r="E839" s="17" t="s">
        <v>33</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876</v>
      </c>
      <c r="C840" t="s">
        <v>37</v>
      </c>
      <c r="D840">
        <v>77</v>
      </c>
      <c r="E840" s="17" t="s">
        <v>27</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877</v>
      </c>
      <c r="C841" t="s">
        <v>30</v>
      </c>
      <c r="D841">
        <v>133</v>
      </c>
      <c r="E841" s="17" t="s">
        <v>46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878</v>
      </c>
      <c r="C842" t="s">
        <v>37</v>
      </c>
      <c r="D842">
        <v>77</v>
      </c>
      <c r="E842" s="17" t="s">
        <v>27</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879</v>
      </c>
      <c r="C843" t="s">
        <v>54</v>
      </c>
      <c r="D843">
        <v>103</v>
      </c>
      <c r="E843" s="17" t="s">
        <v>46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880</v>
      </c>
      <c r="C844" t="s">
        <v>41</v>
      </c>
      <c r="D844">
        <v>32</v>
      </c>
      <c r="E844" s="17" t="s">
        <v>27</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881</v>
      </c>
      <c r="C845" t="s">
        <v>30</v>
      </c>
      <c r="D845">
        <v>30</v>
      </c>
      <c r="E845" s="17" t="s">
        <v>46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882</v>
      </c>
      <c r="C846" t="s">
        <v>26</v>
      </c>
      <c r="D846">
        <v>87</v>
      </c>
      <c r="E846" s="17" t="s">
        <v>40</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883</v>
      </c>
      <c r="C847" t="s">
        <v>37</v>
      </c>
      <c r="D847">
        <v>137</v>
      </c>
      <c r="E847" s="17" t="s">
        <v>17</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884</v>
      </c>
      <c r="C848" t="s">
        <v>49</v>
      </c>
      <c r="D848">
        <v>96</v>
      </c>
      <c r="E848" s="17" t="s">
        <v>46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885</v>
      </c>
      <c r="C849" t="s">
        <v>45</v>
      </c>
      <c r="D849">
        <v>155</v>
      </c>
      <c r="E849" s="17" t="s">
        <v>46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886</v>
      </c>
      <c r="C850" t="s">
        <v>30</v>
      </c>
      <c r="D850">
        <v>173</v>
      </c>
      <c r="E850" s="17" t="s">
        <v>33</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887</v>
      </c>
      <c r="C851" t="s">
        <v>45</v>
      </c>
      <c r="D851">
        <v>127</v>
      </c>
      <c r="E851" s="17" t="s">
        <v>46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888</v>
      </c>
      <c r="C852" t="s">
        <v>22</v>
      </c>
      <c r="D852">
        <v>117</v>
      </c>
      <c r="E852" s="17" t="s">
        <v>33</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889</v>
      </c>
      <c r="C853" t="s">
        <v>16</v>
      </c>
      <c r="D853">
        <v>133</v>
      </c>
      <c r="E853" s="17" t="s">
        <v>27</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890</v>
      </c>
      <c r="C854" t="s">
        <v>23</v>
      </c>
      <c r="D854">
        <v>166</v>
      </c>
      <c r="E854" s="17" t="s">
        <v>40</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891</v>
      </c>
      <c r="C855" t="s">
        <v>16</v>
      </c>
      <c r="D855">
        <v>50</v>
      </c>
      <c r="E855" s="17" t="s">
        <v>33</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892</v>
      </c>
      <c r="C856" t="s">
        <v>54</v>
      </c>
      <c r="D856">
        <v>43</v>
      </c>
      <c r="E856" s="17" t="s">
        <v>27</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893</v>
      </c>
      <c r="C857" t="s">
        <v>49</v>
      </c>
      <c r="D857">
        <v>124</v>
      </c>
      <c r="E857" s="17" t="s">
        <v>46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894</v>
      </c>
      <c r="C858" t="s">
        <v>30</v>
      </c>
      <c r="D858">
        <v>94</v>
      </c>
      <c r="E858" s="17" t="s">
        <v>46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895</v>
      </c>
      <c r="C859" t="s">
        <v>54</v>
      </c>
      <c r="D859">
        <v>126</v>
      </c>
      <c r="E859" s="17" t="s">
        <v>40</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896</v>
      </c>
      <c r="C860" t="s">
        <v>23</v>
      </c>
      <c r="D860">
        <v>105</v>
      </c>
      <c r="E860" s="17" t="s">
        <v>33</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897</v>
      </c>
      <c r="C861" t="s">
        <v>32</v>
      </c>
      <c r="D861">
        <v>60</v>
      </c>
      <c r="E861" s="17" t="s">
        <v>17</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898</v>
      </c>
      <c r="C862" t="s">
        <v>32</v>
      </c>
      <c r="D862">
        <v>72</v>
      </c>
      <c r="E862" s="17" t="s">
        <v>33</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899</v>
      </c>
      <c r="C863" t="s">
        <v>50</v>
      </c>
      <c r="D863">
        <v>40</v>
      </c>
      <c r="E863" s="17" t="s">
        <v>33</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900</v>
      </c>
      <c r="C864" t="s">
        <v>41</v>
      </c>
      <c r="D864">
        <v>54</v>
      </c>
      <c r="E864" s="17" t="s">
        <v>40</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901</v>
      </c>
      <c r="C865" t="s">
        <v>22</v>
      </c>
      <c r="D865">
        <v>81</v>
      </c>
      <c r="E865" s="17" t="s">
        <v>27</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902</v>
      </c>
      <c r="C866" t="s">
        <v>41</v>
      </c>
      <c r="D866">
        <v>76</v>
      </c>
      <c r="E866" s="17" t="s">
        <v>46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903</v>
      </c>
      <c r="C867" t="s">
        <v>41</v>
      </c>
      <c r="D867">
        <v>37</v>
      </c>
      <c r="E867" s="17" t="s">
        <v>17</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904</v>
      </c>
      <c r="C868" t="s">
        <v>23</v>
      </c>
      <c r="D868">
        <v>96</v>
      </c>
      <c r="E868" s="17" t="s">
        <v>40</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905</v>
      </c>
      <c r="C869" t="s">
        <v>32</v>
      </c>
      <c r="D869">
        <v>19</v>
      </c>
      <c r="E869" s="17" t="s">
        <v>46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906</v>
      </c>
      <c r="C870" t="s">
        <v>50</v>
      </c>
      <c r="D870">
        <v>72</v>
      </c>
      <c r="E870" s="17" t="s">
        <v>17</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907</v>
      </c>
      <c r="C871" t="s">
        <v>30</v>
      </c>
      <c r="D871">
        <v>73</v>
      </c>
      <c r="E871" s="17" t="s">
        <v>27</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908</v>
      </c>
      <c r="C872" t="s">
        <v>18</v>
      </c>
      <c r="D872">
        <v>87</v>
      </c>
      <c r="E872" s="17" t="s">
        <v>27</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909</v>
      </c>
      <c r="C873" t="s">
        <v>18</v>
      </c>
      <c r="D873">
        <v>68</v>
      </c>
      <c r="E873" s="17" t="s">
        <v>27</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910</v>
      </c>
      <c r="C874" t="s">
        <v>50</v>
      </c>
      <c r="D874">
        <v>101</v>
      </c>
      <c r="E874" s="17" t="s">
        <v>27</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911</v>
      </c>
      <c r="C875" t="s">
        <v>50</v>
      </c>
      <c r="D875">
        <v>107</v>
      </c>
      <c r="E875" s="17" t="s">
        <v>17</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912</v>
      </c>
      <c r="C876" t="s">
        <v>43</v>
      </c>
      <c r="D876">
        <v>109</v>
      </c>
      <c r="E876" s="17" t="s">
        <v>33</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913</v>
      </c>
      <c r="C877" t="s">
        <v>49</v>
      </c>
      <c r="D877">
        <v>171</v>
      </c>
      <c r="E877" s="17" t="s">
        <v>17</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914</v>
      </c>
      <c r="C878" t="s">
        <v>32</v>
      </c>
      <c r="D878">
        <v>21</v>
      </c>
      <c r="E878" s="17" t="s">
        <v>17</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915</v>
      </c>
      <c r="C879" t="s">
        <v>22</v>
      </c>
      <c r="D879">
        <v>94</v>
      </c>
      <c r="E879" s="17" t="s">
        <v>17</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916</v>
      </c>
      <c r="C880" t="s">
        <v>30</v>
      </c>
      <c r="D880">
        <v>97</v>
      </c>
      <c r="E880" s="17" t="s">
        <v>33</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917</v>
      </c>
      <c r="C881" t="s">
        <v>23</v>
      </c>
      <c r="D881">
        <v>72</v>
      </c>
      <c r="E881" s="17" t="s">
        <v>33</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918</v>
      </c>
      <c r="C882" t="s">
        <v>49</v>
      </c>
      <c r="D882">
        <v>143</v>
      </c>
      <c r="E882" s="17" t="s">
        <v>40</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919</v>
      </c>
      <c r="C883" t="s">
        <v>49</v>
      </c>
      <c r="D883">
        <v>64</v>
      </c>
      <c r="E883" s="17" t="s">
        <v>33</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920</v>
      </c>
      <c r="C884" t="s">
        <v>49</v>
      </c>
      <c r="D884">
        <v>69</v>
      </c>
      <c r="E884" s="17" t="s">
        <v>33</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921</v>
      </c>
      <c r="C885" t="s">
        <v>49</v>
      </c>
      <c r="D885">
        <v>18</v>
      </c>
      <c r="E885" s="17" t="s">
        <v>46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922</v>
      </c>
      <c r="C886" t="s">
        <v>30</v>
      </c>
      <c r="D886">
        <v>100</v>
      </c>
      <c r="E886" s="17" t="s">
        <v>40</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923</v>
      </c>
      <c r="C887" t="s">
        <v>45</v>
      </c>
      <c r="D887">
        <v>110</v>
      </c>
      <c r="E887" s="17" t="s">
        <v>27</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924</v>
      </c>
      <c r="C888" t="s">
        <v>35</v>
      </c>
      <c r="D888">
        <v>41</v>
      </c>
      <c r="E888" s="17" t="s">
        <v>17</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925</v>
      </c>
      <c r="C889" t="s">
        <v>45</v>
      </c>
      <c r="D889">
        <v>147</v>
      </c>
      <c r="E889" s="17" t="s">
        <v>27</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926</v>
      </c>
      <c r="C890" t="s">
        <v>22</v>
      </c>
      <c r="D890">
        <v>31</v>
      </c>
      <c r="E890" s="17" t="s">
        <v>46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927</v>
      </c>
      <c r="C891" t="s">
        <v>18</v>
      </c>
      <c r="D891">
        <v>142</v>
      </c>
      <c r="E891" s="17" t="s">
        <v>17</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928</v>
      </c>
      <c r="C892" t="s">
        <v>43</v>
      </c>
      <c r="D892">
        <v>61</v>
      </c>
      <c r="E892" s="17" t="s">
        <v>17</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929</v>
      </c>
      <c r="C893" t="s">
        <v>16</v>
      </c>
      <c r="D893">
        <v>86</v>
      </c>
      <c r="E893" s="17" t="s">
        <v>46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930</v>
      </c>
      <c r="C894" t="s">
        <v>26</v>
      </c>
      <c r="D894">
        <v>165</v>
      </c>
      <c r="E894" s="17" t="s">
        <v>40</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931</v>
      </c>
      <c r="C895" t="s">
        <v>41</v>
      </c>
      <c r="D895">
        <v>62</v>
      </c>
      <c r="E895" s="17" t="s">
        <v>27</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932</v>
      </c>
      <c r="C896" t="s">
        <v>30</v>
      </c>
      <c r="D896">
        <v>103</v>
      </c>
      <c r="E896" s="17" t="s">
        <v>40</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933</v>
      </c>
      <c r="C897" t="s">
        <v>18</v>
      </c>
      <c r="D897">
        <v>56</v>
      </c>
      <c r="E897" s="17" t="s">
        <v>46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934</v>
      </c>
      <c r="C898" t="s">
        <v>50</v>
      </c>
      <c r="D898">
        <v>114</v>
      </c>
      <c r="E898" s="17" t="s">
        <v>17</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935</v>
      </c>
      <c r="C899" t="s">
        <v>18</v>
      </c>
      <c r="D899">
        <v>112</v>
      </c>
      <c r="E899" s="17" t="s">
        <v>33</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936</v>
      </c>
      <c r="C900" t="s">
        <v>37</v>
      </c>
      <c r="D900">
        <v>52</v>
      </c>
      <c r="E900" s="17" t="s">
        <v>27</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937</v>
      </c>
      <c r="C901" t="s">
        <v>30</v>
      </c>
      <c r="D901">
        <v>105</v>
      </c>
      <c r="E901" s="17" t="s">
        <v>40</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938</v>
      </c>
      <c r="C902" t="s">
        <v>26</v>
      </c>
      <c r="D902">
        <v>91</v>
      </c>
      <c r="E902" s="17" t="s">
        <v>46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939</v>
      </c>
      <c r="C903" t="s">
        <v>54</v>
      </c>
      <c r="D903">
        <v>74</v>
      </c>
      <c r="E903" s="17" t="s">
        <v>17</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940</v>
      </c>
      <c r="C904" t="s">
        <v>54</v>
      </c>
      <c r="D904">
        <v>30</v>
      </c>
      <c r="E904" s="17" t="s">
        <v>46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941</v>
      </c>
      <c r="C905" t="s">
        <v>26</v>
      </c>
      <c r="D905">
        <v>56</v>
      </c>
      <c r="E905" s="17" t="s">
        <v>27</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942</v>
      </c>
      <c r="C906" t="s">
        <v>54</v>
      </c>
      <c r="D906">
        <v>151</v>
      </c>
      <c r="E906" s="17" t="s">
        <v>33</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943</v>
      </c>
      <c r="C907" t="s">
        <v>22</v>
      </c>
      <c r="D907">
        <v>108</v>
      </c>
      <c r="E907" s="17" t="s">
        <v>40</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944</v>
      </c>
      <c r="C908" t="s">
        <v>50</v>
      </c>
      <c r="D908">
        <v>124</v>
      </c>
      <c r="E908" s="17" t="s">
        <v>17</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945</v>
      </c>
      <c r="C909" t="s">
        <v>30</v>
      </c>
      <c r="D909">
        <v>110</v>
      </c>
      <c r="E909" s="17" t="s">
        <v>27</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946</v>
      </c>
      <c r="C910" t="s">
        <v>45</v>
      </c>
      <c r="D910">
        <v>89</v>
      </c>
      <c r="E910" s="17" t="s">
        <v>40</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947</v>
      </c>
      <c r="C911" t="s">
        <v>16</v>
      </c>
      <c r="D911">
        <v>95</v>
      </c>
      <c r="E911" s="17" t="s">
        <v>27</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948</v>
      </c>
      <c r="C912" t="s">
        <v>54</v>
      </c>
      <c r="D912">
        <v>84</v>
      </c>
      <c r="E912" s="17" t="s">
        <v>40</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949</v>
      </c>
      <c r="C913" t="s">
        <v>23</v>
      </c>
      <c r="D913">
        <v>89</v>
      </c>
      <c r="E913" s="17" t="s">
        <v>17</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950</v>
      </c>
      <c r="C914" t="s">
        <v>45</v>
      </c>
      <c r="D914">
        <v>146</v>
      </c>
      <c r="E914" s="17" t="s">
        <v>17</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951</v>
      </c>
      <c r="C915" t="s">
        <v>49</v>
      </c>
      <c r="D915">
        <v>62</v>
      </c>
      <c r="E915" s="17" t="s">
        <v>46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952</v>
      </c>
      <c r="C916" t="s">
        <v>18</v>
      </c>
      <c r="D916">
        <v>82</v>
      </c>
      <c r="E916" s="17" t="s">
        <v>17</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953</v>
      </c>
      <c r="C917" t="s">
        <v>43</v>
      </c>
      <c r="D917">
        <v>91</v>
      </c>
      <c r="E917" s="17" t="s">
        <v>33</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954</v>
      </c>
      <c r="C918" t="s">
        <v>23</v>
      </c>
      <c r="D918">
        <v>39</v>
      </c>
      <c r="E918" s="17" t="s">
        <v>17</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955</v>
      </c>
      <c r="C919" t="s">
        <v>45</v>
      </c>
      <c r="D919">
        <v>149</v>
      </c>
      <c r="E919" s="17" t="s">
        <v>27</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956</v>
      </c>
      <c r="C920" t="s">
        <v>18</v>
      </c>
      <c r="D920">
        <v>138</v>
      </c>
      <c r="E920" s="17" t="s">
        <v>46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957</v>
      </c>
      <c r="C921" t="s">
        <v>49</v>
      </c>
      <c r="D921">
        <v>113</v>
      </c>
      <c r="E921" s="17" t="s">
        <v>27</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958</v>
      </c>
      <c r="C922" t="s">
        <v>32</v>
      </c>
      <c r="D922">
        <v>88</v>
      </c>
      <c r="E922" s="17" t="s">
        <v>17</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959</v>
      </c>
      <c r="C923" t="s">
        <v>16</v>
      </c>
      <c r="D923">
        <v>64</v>
      </c>
      <c r="E923" s="17" t="s">
        <v>46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960</v>
      </c>
      <c r="C924" t="s">
        <v>26</v>
      </c>
      <c r="D924">
        <v>53</v>
      </c>
      <c r="E924" s="17" t="s">
        <v>46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961</v>
      </c>
      <c r="C925" t="s">
        <v>50</v>
      </c>
      <c r="D925">
        <v>63</v>
      </c>
      <c r="E925" s="17" t="s">
        <v>27</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962</v>
      </c>
      <c r="C926" t="s">
        <v>37</v>
      </c>
      <c r="D926">
        <v>54</v>
      </c>
      <c r="E926" s="17" t="s">
        <v>27</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963</v>
      </c>
      <c r="C927" t="s">
        <v>50</v>
      </c>
      <c r="D927">
        <v>54</v>
      </c>
      <c r="E927" s="17" t="s">
        <v>17</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964</v>
      </c>
      <c r="C928" t="s">
        <v>45</v>
      </c>
      <c r="D928">
        <v>71</v>
      </c>
      <c r="E928" s="17" t="s">
        <v>46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965</v>
      </c>
      <c r="C929" t="s">
        <v>50</v>
      </c>
      <c r="D929">
        <v>93</v>
      </c>
      <c r="E929" s="17" t="s">
        <v>17</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966</v>
      </c>
      <c r="C930" t="s">
        <v>30</v>
      </c>
      <c r="D930">
        <v>96</v>
      </c>
      <c r="E930" s="17" t="s">
        <v>27</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967</v>
      </c>
      <c r="C931" t="s">
        <v>23</v>
      </c>
      <c r="D931">
        <v>31</v>
      </c>
      <c r="E931" s="17" t="s">
        <v>33</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968</v>
      </c>
      <c r="C932" t="s">
        <v>50</v>
      </c>
      <c r="D932">
        <v>107</v>
      </c>
      <c r="E932" s="17" t="s">
        <v>46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969</v>
      </c>
      <c r="C933" t="s">
        <v>26</v>
      </c>
      <c r="D933">
        <v>50</v>
      </c>
      <c r="E933" s="17" t="s">
        <v>33</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970</v>
      </c>
      <c r="C934" t="s">
        <v>18</v>
      </c>
      <c r="D934">
        <v>69</v>
      </c>
      <c r="E934" s="17" t="s">
        <v>46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971</v>
      </c>
      <c r="C935" t="s">
        <v>32</v>
      </c>
      <c r="D935">
        <v>26</v>
      </c>
      <c r="E935" s="17" t="s">
        <v>27</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972</v>
      </c>
      <c r="C936" t="s">
        <v>30</v>
      </c>
      <c r="D936">
        <v>158</v>
      </c>
      <c r="E936" s="17" t="s">
        <v>46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973</v>
      </c>
      <c r="C937" t="s">
        <v>37</v>
      </c>
      <c r="D937">
        <v>99</v>
      </c>
      <c r="E937" s="17" t="s">
        <v>46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974</v>
      </c>
      <c r="C938" t="s">
        <v>30</v>
      </c>
      <c r="D938">
        <v>78</v>
      </c>
      <c r="E938" s="17" t="s">
        <v>33</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975</v>
      </c>
      <c r="C939" t="s">
        <v>30</v>
      </c>
      <c r="D939">
        <v>102</v>
      </c>
      <c r="E939" s="17" t="s">
        <v>27</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976</v>
      </c>
      <c r="C940" t="s">
        <v>37</v>
      </c>
      <c r="D940">
        <v>158</v>
      </c>
      <c r="E940" s="17" t="s">
        <v>40</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977</v>
      </c>
      <c r="C941" t="s">
        <v>23</v>
      </c>
      <c r="D941">
        <v>56</v>
      </c>
      <c r="E941" s="17" t="s">
        <v>46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978</v>
      </c>
      <c r="C942" t="s">
        <v>22</v>
      </c>
      <c r="D942">
        <v>17</v>
      </c>
      <c r="E942" s="17" t="s">
        <v>17</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979</v>
      </c>
      <c r="C943" t="s">
        <v>32</v>
      </c>
      <c r="D943">
        <v>104</v>
      </c>
      <c r="E943" s="17" t="s">
        <v>40</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980</v>
      </c>
      <c r="C944" t="s">
        <v>54</v>
      </c>
      <c r="D944">
        <v>96</v>
      </c>
      <c r="E944" s="17" t="s">
        <v>33</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981</v>
      </c>
      <c r="C945" t="s">
        <v>43</v>
      </c>
      <c r="D945">
        <v>83</v>
      </c>
      <c r="E945" s="17" t="s">
        <v>27</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982</v>
      </c>
      <c r="C946" t="s">
        <v>26</v>
      </c>
      <c r="D946">
        <v>80</v>
      </c>
      <c r="E946" s="17" t="s">
        <v>17</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983</v>
      </c>
      <c r="C947" t="s">
        <v>43</v>
      </c>
      <c r="D947">
        <v>152</v>
      </c>
      <c r="E947" s="17" t="s">
        <v>27</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984</v>
      </c>
      <c r="C948" t="s">
        <v>45</v>
      </c>
      <c r="D948">
        <v>34</v>
      </c>
      <c r="E948" s="17" t="s">
        <v>33</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985</v>
      </c>
      <c r="C949" t="s">
        <v>49</v>
      </c>
      <c r="D949">
        <v>2</v>
      </c>
      <c r="E949" s="17" t="s">
        <v>46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986</v>
      </c>
      <c r="C950" t="s">
        <v>26</v>
      </c>
      <c r="D950">
        <v>140</v>
      </c>
      <c r="E950" s="17" t="s">
        <v>33</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987</v>
      </c>
      <c r="C951" t="s">
        <v>22</v>
      </c>
      <c r="D951">
        <v>126</v>
      </c>
      <c r="E951" s="17" t="s">
        <v>40</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988</v>
      </c>
      <c r="C952" t="s">
        <v>30</v>
      </c>
      <c r="D952">
        <v>79</v>
      </c>
      <c r="E952" s="17" t="s">
        <v>46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989</v>
      </c>
      <c r="C953" t="s">
        <v>22</v>
      </c>
      <c r="D953">
        <v>133</v>
      </c>
      <c r="E953" s="17" t="s">
        <v>40</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990</v>
      </c>
      <c r="C954" t="s">
        <v>45</v>
      </c>
      <c r="D954">
        <v>97</v>
      </c>
      <c r="E954" s="17" t="s">
        <v>17</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991</v>
      </c>
      <c r="C955" t="s">
        <v>30</v>
      </c>
      <c r="D955">
        <v>102</v>
      </c>
      <c r="E955" s="17" t="s">
        <v>27</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992</v>
      </c>
      <c r="C956" t="s">
        <v>35</v>
      </c>
      <c r="D956">
        <v>62</v>
      </c>
      <c r="E956" s="17" t="s">
        <v>17</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993</v>
      </c>
      <c r="C957" t="s">
        <v>22</v>
      </c>
      <c r="D957">
        <v>149</v>
      </c>
      <c r="E957" s="17" t="s">
        <v>27</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994</v>
      </c>
      <c r="C958" t="s">
        <v>49</v>
      </c>
      <c r="D958">
        <v>133</v>
      </c>
      <c r="E958" s="17" t="s">
        <v>17</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995</v>
      </c>
      <c r="C959" t="s">
        <v>30</v>
      </c>
      <c r="D959">
        <v>51</v>
      </c>
      <c r="E959" s="17" t="s">
        <v>46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996</v>
      </c>
      <c r="C960" t="s">
        <v>35</v>
      </c>
      <c r="D960">
        <v>110</v>
      </c>
      <c r="E960" s="17" t="s">
        <v>17</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997</v>
      </c>
      <c r="C961" t="s">
        <v>45</v>
      </c>
      <c r="D961">
        <v>38</v>
      </c>
      <c r="E961" s="17" t="s">
        <v>40</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998</v>
      </c>
      <c r="C962" t="s">
        <v>49</v>
      </c>
      <c r="D962">
        <v>78</v>
      </c>
      <c r="E962" s="17" t="s">
        <v>40</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999</v>
      </c>
      <c r="C963" t="s">
        <v>45</v>
      </c>
      <c r="D963">
        <v>25</v>
      </c>
      <c r="E963" s="17" t="s">
        <v>27</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1000</v>
      </c>
      <c r="C964" t="s">
        <v>50</v>
      </c>
      <c r="D964">
        <v>50</v>
      </c>
      <c r="E964" s="17" t="s">
        <v>46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1001</v>
      </c>
      <c r="C965" t="s">
        <v>45</v>
      </c>
      <c r="D965">
        <v>103</v>
      </c>
      <c r="E965" s="17" t="s">
        <v>27</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1002</v>
      </c>
      <c r="C966" t="s">
        <v>43</v>
      </c>
      <c r="D966">
        <v>63</v>
      </c>
      <c r="E966" s="17" t="s">
        <v>33</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1003</v>
      </c>
      <c r="C967" t="s">
        <v>50</v>
      </c>
      <c r="D967">
        <v>96</v>
      </c>
      <c r="E967" s="17" t="s">
        <v>46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1004</v>
      </c>
      <c r="C968" t="s">
        <v>26</v>
      </c>
      <c r="D968">
        <v>94</v>
      </c>
      <c r="E968" s="17" t="s">
        <v>27</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1005</v>
      </c>
      <c r="C969" t="s">
        <v>35</v>
      </c>
      <c r="D969">
        <v>46</v>
      </c>
      <c r="E969" s="17" t="s">
        <v>40</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1006</v>
      </c>
      <c r="C970" t="s">
        <v>41</v>
      </c>
      <c r="D970">
        <v>127</v>
      </c>
      <c r="E970" s="17" t="s">
        <v>46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1007</v>
      </c>
      <c r="C971" t="s">
        <v>37</v>
      </c>
      <c r="D971">
        <v>96</v>
      </c>
      <c r="E971" s="17" t="s">
        <v>40</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1008</v>
      </c>
      <c r="C972" t="s">
        <v>18</v>
      </c>
      <c r="D972">
        <v>151</v>
      </c>
      <c r="E972" s="17" t="s">
        <v>27</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1009</v>
      </c>
      <c r="C973" t="s">
        <v>41</v>
      </c>
      <c r="D973">
        <v>158</v>
      </c>
      <c r="E973" s="17" t="s">
        <v>17</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1010</v>
      </c>
      <c r="C974" t="s">
        <v>26</v>
      </c>
      <c r="D974">
        <v>45</v>
      </c>
      <c r="E974" s="17" t="s">
        <v>17</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1011</v>
      </c>
      <c r="C975" t="s">
        <v>23</v>
      </c>
      <c r="D975">
        <v>141</v>
      </c>
      <c r="E975" s="17" t="s">
        <v>17</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1012</v>
      </c>
      <c r="C976" t="s">
        <v>45</v>
      </c>
      <c r="D976">
        <v>147</v>
      </c>
      <c r="E976" s="17" t="s">
        <v>40</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1013</v>
      </c>
      <c r="C977" t="s">
        <v>54</v>
      </c>
      <c r="D977">
        <v>126</v>
      </c>
      <c r="E977" s="17" t="s">
        <v>40</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1014</v>
      </c>
      <c r="C978" t="s">
        <v>26</v>
      </c>
      <c r="D978">
        <v>126</v>
      </c>
      <c r="E978" s="17" t="s">
        <v>33</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1015</v>
      </c>
      <c r="C979" t="s">
        <v>49</v>
      </c>
      <c r="D979">
        <v>32</v>
      </c>
      <c r="E979" s="17" t="s">
        <v>40</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1016</v>
      </c>
      <c r="C980" t="s">
        <v>26</v>
      </c>
      <c r="D980">
        <v>84</v>
      </c>
      <c r="E980" s="17" t="s">
        <v>46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1017</v>
      </c>
      <c r="C981" t="s">
        <v>43</v>
      </c>
      <c r="D981">
        <v>120</v>
      </c>
      <c r="E981" s="17" t="s">
        <v>33</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1018</v>
      </c>
      <c r="C982" t="s">
        <v>32</v>
      </c>
      <c r="D982">
        <v>93</v>
      </c>
      <c r="E982" s="17" t="s">
        <v>40</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1019</v>
      </c>
      <c r="C983" t="s">
        <v>37</v>
      </c>
      <c r="D983">
        <v>76</v>
      </c>
      <c r="E983" s="17" t="s">
        <v>27</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1020</v>
      </c>
      <c r="C984" t="s">
        <v>41</v>
      </c>
      <c r="D984">
        <v>89</v>
      </c>
      <c r="E984" s="17" t="s">
        <v>40</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1021</v>
      </c>
      <c r="C985" t="s">
        <v>30</v>
      </c>
      <c r="D985">
        <v>91</v>
      </c>
      <c r="E985" s="17" t="s">
        <v>46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1022</v>
      </c>
      <c r="C986" t="s">
        <v>35</v>
      </c>
      <c r="D986">
        <v>7</v>
      </c>
      <c r="E986" s="17" t="s">
        <v>17</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1023</v>
      </c>
      <c r="C987" t="s">
        <v>49</v>
      </c>
      <c r="D987">
        <v>140</v>
      </c>
      <c r="E987" s="17" t="s">
        <v>17</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1024</v>
      </c>
      <c r="C988" t="s">
        <v>22</v>
      </c>
      <c r="D988">
        <v>58</v>
      </c>
      <c r="E988" s="17" t="s">
        <v>33</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1025</v>
      </c>
      <c r="C989" t="s">
        <v>16</v>
      </c>
      <c r="D989">
        <v>90</v>
      </c>
      <c r="E989" s="17" t="s">
        <v>27</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1026</v>
      </c>
      <c r="C990" t="s">
        <v>16</v>
      </c>
      <c r="D990">
        <v>106</v>
      </c>
      <c r="E990" s="17" t="s">
        <v>40</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1027</v>
      </c>
      <c r="C991" t="s">
        <v>43</v>
      </c>
      <c r="D991">
        <v>72</v>
      </c>
      <c r="E991" s="17" t="s">
        <v>17</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1028</v>
      </c>
      <c r="C992" t="s">
        <v>35</v>
      </c>
      <c r="D992">
        <v>124</v>
      </c>
      <c r="E992" s="17" t="s">
        <v>17</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1029</v>
      </c>
      <c r="C993" t="s">
        <v>23</v>
      </c>
      <c r="D993">
        <v>86</v>
      </c>
      <c r="E993" s="17" t="s">
        <v>46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1030</v>
      </c>
      <c r="C994" t="s">
        <v>26</v>
      </c>
      <c r="D994">
        <v>164</v>
      </c>
      <c r="E994" s="17" t="s">
        <v>46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1031</v>
      </c>
      <c r="C995" t="s">
        <v>32</v>
      </c>
      <c r="D995">
        <v>40</v>
      </c>
      <c r="E995" s="17" t="s">
        <v>27</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1032</v>
      </c>
      <c r="C996" t="s">
        <v>30</v>
      </c>
      <c r="D996">
        <v>76</v>
      </c>
      <c r="E996" s="17" t="s">
        <v>33</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1033</v>
      </c>
      <c r="C997" t="s">
        <v>35</v>
      </c>
      <c r="D997">
        <v>95</v>
      </c>
      <c r="E997" s="17" t="s">
        <v>40</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1034</v>
      </c>
      <c r="C998" t="s">
        <v>30</v>
      </c>
      <c r="D998">
        <v>113</v>
      </c>
      <c r="E998" s="17" t="s">
        <v>17</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1035</v>
      </c>
      <c r="C999" t="s">
        <v>23</v>
      </c>
      <c r="D999">
        <v>81</v>
      </c>
      <c r="E999" s="17" t="s">
        <v>17</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1036</v>
      </c>
      <c r="C1000" t="s">
        <v>37</v>
      </c>
      <c r="D1000">
        <v>127</v>
      </c>
      <c r="E1000" s="17" t="s">
        <v>40</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1037</v>
      </c>
      <c r="C1001" t="s">
        <v>49</v>
      </c>
      <c r="D1001">
        <v>146</v>
      </c>
      <c r="E1001" s="17" t="s">
        <v>17</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1038</v>
      </c>
      <c r="C1002" t="s">
        <v>45</v>
      </c>
      <c r="D1002">
        <v>123</v>
      </c>
      <c r="E1002" s="17" t="s">
        <v>17</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1039</v>
      </c>
      <c r="C1003" t="s">
        <v>43</v>
      </c>
      <c r="D1003">
        <v>114</v>
      </c>
      <c r="E1003" s="17" t="s">
        <v>33</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CB35-7A6C-4AE6-8153-EA1D44E54666}">
  <dimension ref="A1:AL47"/>
  <sheetViews>
    <sheetView tabSelected="1" zoomScale="79" zoomScaleNormal="82" workbookViewId="0">
      <selection activeCell="B1" sqref="B1:W1"/>
    </sheetView>
  </sheetViews>
  <sheetFormatPr defaultRowHeight="14.5" x14ac:dyDescent="0.35"/>
  <cols>
    <col min="11" max="11" width="4.54296875" customWidth="1"/>
    <col min="12" max="12" width="12.26953125" customWidth="1"/>
    <col min="13" max="13" width="9.54296875" customWidth="1"/>
    <col min="14" max="14" width="11.7265625" customWidth="1"/>
  </cols>
  <sheetData>
    <row r="1" spans="1:38" ht="48.65" customHeight="1" x14ac:dyDescent="0.35">
      <c r="A1" s="44" t="s">
        <v>1040</v>
      </c>
      <c r="B1" s="49" t="s">
        <v>1041</v>
      </c>
      <c r="C1" s="49"/>
      <c r="D1" s="49"/>
      <c r="E1" s="49"/>
      <c r="F1" s="49"/>
      <c r="G1" s="49"/>
      <c r="H1" s="49"/>
      <c r="I1" s="49"/>
      <c r="J1" s="49"/>
      <c r="K1" s="49"/>
      <c r="L1" s="49"/>
      <c r="M1" s="49"/>
      <c r="N1" s="49"/>
      <c r="O1" s="49"/>
      <c r="P1" s="49"/>
      <c r="Q1" s="49"/>
      <c r="R1" s="49"/>
      <c r="S1" s="49"/>
      <c r="T1" s="49"/>
      <c r="U1" s="49"/>
      <c r="V1" s="49"/>
      <c r="W1" s="49"/>
      <c r="X1" s="44"/>
      <c r="Y1" s="44"/>
      <c r="Z1" s="44"/>
      <c r="AA1" s="24"/>
      <c r="AB1" s="24"/>
      <c r="AC1" s="24"/>
      <c r="AD1" s="24"/>
      <c r="AE1" s="24"/>
      <c r="AF1" s="24"/>
      <c r="AG1" s="24"/>
      <c r="AH1" s="24"/>
      <c r="AI1" s="24"/>
      <c r="AJ1" s="24"/>
      <c r="AK1" s="24"/>
      <c r="AL1" s="24"/>
    </row>
    <row r="2" spans="1:38" ht="11.5" hidden="1" customHeight="1" x14ac:dyDescent="0.35">
      <c r="A2" s="44"/>
      <c r="B2" s="44"/>
      <c r="C2" s="44"/>
      <c r="D2" s="44"/>
      <c r="E2" s="44"/>
      <c r="F2" s="44"/>
      <c r="G2" s="44"/>
      <c r="H2" s="44"/>
      <c r="I2" s="44"/>
      <c r="J2" s="44"/>
      <c r="K2" s="44"/>
      <c r="L2" s="44"/>
      <c r="M2" s="44"/>
      <c r="N2" s="44"/>
      <c r="O2" s="44"/>
      <c r="P2" s="44"/>
      <c r="Q2" s="44"/>
      <c r="R2" s="44"/>
      <c r="S2" s="44"/>
      <c r="T2" s="44"/>
      <c r="U2" s="44"/>
      <c r="V2" s="44"/>
      <c r="W2" s="44"/>
      <c r="X2" s="44"/>
      <c r="Y2" s="44"/>
      <c r="Z2" s="44"/>
      <c r="AA2" s="24"/>
      <c r="AB2" s="24"/>
      <c r="AC2" s="24"/>
      <c r="AD2" s="24"/>
      <c r="AE2" s="24"/>
      <c r="AF2" s="24"/>
      <c r="AG2" s="24"/>
      <c r="AH2" s="24"/>
      <c r="AI2" s="24"/>
      <c r="AJ2" s="24"/>
      <c r="AK2" s="24"/>
      <c r="AL2" s="24"/>
    </row>
    <row r="3" spans="1:38" ht="14.5" hidden="1" customHeight="1" x14ac:dyDescent="0.35">
      <c r="A3" s="44"/>
      <c r="B3" s="44"/>
      <c r="C3" s="44"/>
      <c r="D3" s="44"/>
      <c r="E3" s="44"/>
      <c r="F3" s="44"/>
      <c r="G3" s="44"/>
      <c r="H3" s="44"/>
      <c r="I3" s="44"/>
      <c r="J3" s="44"/>
      <c r="K3" s="44"/>
      <c r="L3" s="44"/>
      <c r="M3" s="44"/>
      <c r="N3" s="44"/>
      <c r="O3" s="44"/>
      <c r="P3" s="44"/>
      <c r="Q3" s="44"/>
      <c r="R3" s="44"/>
      <c r="S3" s="44"/>
      <c r="T3" s="44"/>
      <c r="U3" s="44"/>
      <c r="V3" s="44"/>
      <c r="W3" s="44"/>
      <c r="X3" s="44"/>
      <c r="Y3" s="44"/>
      <c r="Z3" s="44"/>
      <c r="AA3" s="24"/>
      <c r="AB3" s="24"/>
      <c r="AC3" s="24"/>
      <c r="AD3" s="24"/>
      <c r="AE3" s="24"/>
      <c r="AF3" s="24"/>
      <c r="AG3" s="24"/>
      <c r="AH3" s="24"/>
      <c r="AI3" s="24"/>
      <c r="AJ3" s="24"/>
      <c r="AK3" s="24"/>
      <c r="AL3" s="24"/>
    </row>
    <row r="4" spans="1:38" ht="2.15" hidden="1" customHeight="1" x14ac:dyDescent="0.35">
      <c r="A4" s="44"/>
      <c r="B4" s="44"/>
      <c r="C4" s="44"/>
      <c r="D4" s="44"/>
      <c r="E4" s="44"/>
      <c r="F4" s="44"/>
      <c r="G4" s="44"/>
      <c r="H4" s="44"/>
      <c r="I4" s="44"/>
      <c r="J4" s="44"/>
      <c r="K4" s="44"/>
      <c r="L4" s="44"/>
      <c r="M4" s="44"/>
      <c r="N4" s="44"/>
      <c r="O4" s="44"/>
      <c r="P4" s="44"/>
      <c r="Q4" s="44"/>
      <c r="R4" s="44"/>
      <c r="S4" s="44"/>
      <c r="T4" s="44"/>
      <c r="U4" s="44"/>
      <c r="V4" s="44"/>
      <c r="W4" s="44"/>
      <c r="X4" s="44"/>
      <c r="Y4" s="44"/>
      <c r="Z4" s="44"/>
      <c r="AA4" s="24"/>
      <c r="AB4" s="24"/>
      <c r="AC4" s="24"/>
      <c r="AD4" s="24"/>
      <c r="AE4" s="24"/>
      <c r="AF4" s="24"/>
      <c r="AG4" s="24"/>
      <c r="AH4" s="24"/>
      <c r="AI4" s="24"/>
      <c r="AJ4" s="24"/>
      <c r="AK4" s="24"/>
      <c r="AL4" s="24"/>
    </row>
    <row r="5" spans="1:38" hidden="1" x14ac:dyDescent="0.35">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row>
    <row r="6" spans="1:38" hidden="1" x14ac:dyDescent="0.35">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row>
    <row r="7" spans="1:38" x14ac:dyDescent="0.35">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row>
    <row r="8" spans="1:38" x14ac:dyDescent="0.35">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row>
    <row r="9" spans="1:38" x14ac:dyDescent="0.35">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row>
    <row r="10" spans="1:38" x14ac:dyDescent="0.3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row>
    <row r="11" spans="1:38" x14ac:dyDescent="0.35">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row>
    <row r="12" spans="1:38" x14ac:dyDescent="0.35">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row>
    <row r="13" spans="1:38" x14ac:dyDescent="0.35">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row>
    <row r="14" spans="1:38" x14ac:dyDescent="0.35">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row>
    <row r="15" spans="1:38" x14ac:dyDescent="0.3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row>
    <row r="16" spans="1:38" x14ac:dyDescent="0.35">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row>
    <row r="17" spans="1:38" x14ac:dyDescent="0.35">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row>
    <row r="18" spans="1:38" x14ac:dyDescent="0.35">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row>
    <row r="19" spans="1:38" x14ac:dyDescent="0.35">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row>
    <row r="20" spans="1:38" x14ac:dyDescent="0.35">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row>
    <row r="21" spans="1:38" x14ac:dyDescent="0.35">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row>
    <row r="22" spans="1:38" x14ac:dyDescent="0.35">
      <c r="A22" s="24"/>
      <c r="B22" s="24"/>
      <c r="C22" s="24"/>
      <c r="D22" s="24"/>
      <c r="E22" s="24"/>
      <c r="F22" s="24"/>
      <c r="G22" s="24"/>
      <c r="H22" s="24"/>
      <c r="I22" s="24"/>
      <c r="J22" s="24"/>
      <c r="K22" s="24"/>
      <c r="L22" s="24"/>
      <c r="M22" s="24"/>
      <c r="N22" s="30"/>
      <c r="O22" s="39" t="str" cm="1">
        <f t="array" ref="O22:S22">pivots!B106:F106</f>
        <v>R01</v>
      </c>
      <c r="P22" s="39" t="str">
        <v>R02</v>
      </c>
      <c r="Q22" s="39" t="str">
        <v>R03</v>
      </c>
      <c r="R22" s="39" t="str">
        <v>R04</v>
      </c>
      <c r="S22" s="39" t="str">
        <v>R05</v>
      </c>
      <c r="T22" s="40" t="s">
        <v>1042</v>
      </c>
      <c r="U22" s="24"/>
      <c r="V22" s="24"/>
      <c r="W22" s="24"/>
      <c r="X22" s="24"/>
      <c r="Y22" s="24"/>
      <c r="Z22" s="24"/>
      <c r="AA22" s="24"/>
      <c r="AB22" s="24"/>
      <c r="AC22" s="24"/>
      <c r="AD22" s="24"/>
      <c r="AE22" s="24"/>
      <c r="AF22" s="24"/>
      <c r="AG22" s="24"/>
      <c r="AH22" s="24"/>
      <c r="AI22" s="24"/>
      <c r="AJ22" s="24"/>
      <c r="AK22" s="24"/>
      <c r="AL22" s="24"/>
    </row>
    <row r="23" spans="1:38" x14ac:dyDescent="0.35">
      <c r="A23" s="24"/>
      <c r="B23" s="24"/>
      <c r="C23" s="24"/>
      <c r="D23" s="24"/>
      <c r="E23" s="24"/>
      <c r="F23" s="24"/>
      <c r="G23" s="24"/>
      <c r="H23" s="24"/>
      <c r="I23" s="24"/>
      <c r="J23" s="24"/>
      <c r="K23" s="24"/>
      <c r="L23" s="24"/>
      <c r="M23" s="24"/>
      <c r="N23" s="41" t="str" cm="1">
        <f t="array" ref="N23:T40">IF(pivots!A107:G124="","",pivots!A107:G124)</f>
        <v>Cincinnati</v>
      </c>
      <c r="O23" s="31" t="str">
        <v/>
      </c>
      <c r="P23" s="31" t="str">
        <v/>
      </c>
      <c r="Q23" s="31" t="str">
        <v/>
      </c>
      <c r="R23" s="31" t="str">
        <v/>
      </c>
      <c r="S23" s="31" t="str">
        <v/>
      </c>
      <c r="T23" s="32" t="str">
        <v/>
      </c>
      <c r="U23" s="24"/>
      <c r="V23" s="24"/>
      <c r="W23" s="24"/>
      <c r="X23" s="24"/>
      <c r="Y23" s="24"/>
      <c r="Z23" s="24"/>
      <c r="AA23" s="24"/>
      <c r="AB23" s="24"/>
      <c r="AC23" s="24"/>
      <c r="AD23" s="24"/>
      <c r="AE23" s="24"/>
      <c r="AF23" s="24"/>
      <c r="AG23" s="24"/>
      <c r="AH23" s="24"/>
      <c r="AI23" s="24"/>
      <c r="AJ23" s="24"/>
      <c r="AK23" s="24"/>
      <c r="AL23" s="24"/>
    </row>
    <row r="24" spans="1:38" x14ac:dyDescent="0.35">
      <c r="A24" s="24"/>
      <c r="B24" s="24"/>
      <c r="C24" s="24"/>
      <c r="D24" s="24"/>
      <c r="E24" s="24"/>
      <c r="F24" s="24"/>
      <c r="G24" s="24"/>
      <c r="H24" s="24"/>
      <c r="I24" s="24"/>
      <c r="J24" s="24"/>
      <c r="K24" s="24"/>
      <c r="L24" s="24"/>
      <c r="M24" s="24"/>
      <c r="N24" s="33" t="str">
        <v>C0003</v>
      </c>
      <c r="O24" s="34">
        <v>891</v>
      </c>
      <c r="P24" s="34">
        <v>1332</v>
      </c>
      <c r="Q24" s="34">
        <v>1282</v>
      </c>
      <c r="R24" s="34">
        <v>739</v>
      </c>
      <c r="S24" s="34">
        <v>560</v>
      </c>
      <c r="T24" s="35">
        <v>4804</v>
      </c>
      <c r="U24" s="24"/>
      <c r="V24" s="24"/>
      <c r="W24" s="24"/>
      <c r="X24" s="24"/>
      <c r="Y24" s="24"/>
      <c r="Z24" s="24"/>
      <c r="AA24" s="24"/>
      <c r="AB24" s="24"/>
      <c r="AC24" s="24"/>
      <c r="AD24" s="24"/>
      <c r="AE24" s="24"/>
      <c r="AF24" s="24"/>
      <c r="AG24" s="24"/>
      <c r="AH24" s="24"/>
      <c r="AI24" s="24"/>
      <c r="AJ24" s="24"/>
      <c r="AK24" s="24"/>
      <c r="AL24" s="24"/>
    </row>
    <row r="25" spans="1:38" x14ac:dyDescent="0.35">
      <c r="A25" s="24"/>
      <c r="B25" s="24"/>
      <c r="C25" s="24"/>
      <c r="D25" s="24"/>
      <c r="E25" s="24"/>
      <c r="F25" s="24"/>
      <c r="G25" s="24"/>
      <c r="H25" s="24"/>
      <c r="I25" s="24"/>
      <c r="J25" s="24"/>
      <c r="K25" s="24"/>
      <c r="L25" s="24"/>
      <c r="M25" s="24"/>
      <c r="N25" s="33" t="str">
        <v>C0004</v>
      </c>
      <c r="O25" s="34">
        <v>1991</v>
      </c>
      <c r="P25" s="34">
        <v>1886</v>
      </c>
      <c r="Q25" s="34">
        <v>1206</v>
      </c>
      <c r="R25" s="34">
        <v>884</v>
      </c>
      <c r="S25" s="34">
        <v>1722</v>
      </c>
      <c r="T25" s="35">
        <v>7689</v>
      </c>
      <c r="U25" s="24"/>
      <c r="V25" s="24"/>
      <c r="W25" s="24"/>
      <c r="X25" s="24"/>
      <c r="Y25" s="24"/>
      <c r="Z25" s="24"/>
      <c r="AA25" s="24"/>
      <c r="AB25" s="24"/>
      <c r="AC25" s="24"/>
      <c r="AD25" s="24"/>
      <c r="AE25" s="24"/>
      <c r="AF25" s="24"/>
      <c r="AG25" s="24"/>
      <c r="AH25" s="24"/>
      <c r="AI25" s="24"/>
      <c r="AJ25" s="24"/>
      <c r="AK25" s="24"/>
      <c r="AL25" s="24"/>
    </row>
    <row r="26" spans="1:38" x14ac:dyDescent="0.35">
      <c r="A26" s="24"/>
      <c r="B26" s="24"/>
      <c r="C26" s="24"/>
      <c r="D26" s="24"/>
      <c r="E26" s="24"/>
      <c r="F26" s="24"/>
      <c r="G26" s="24"/>
      <c r="H26" s="24"/>
      <c r="I26" s="24"/>
      <c r="J26" s="24"/>
      <c r="K26" s="24"/>
      <c r="L26" s="24"/>
      <c r="M26" s="24"/>
      <c r="N26" s="33" t="str">
        <v>C0011</v>
      </c>
      <c r="O26" s="34">
        <v>1163</v>
      </c>
      <c r="P26" s="34">
        <v>1180</v>
      </c>
      <c r="Q26" s="34">
        <v>1616</v>
      </c>
      <c r="R26" s="34">
        <v>1043</v>
      </c>
      <c r="S26" s="34">
        <v>1747</v>
      </c>
      <c r="T26" s="35">
        <v>6749</v>
      </c>
      <c r="U26" s="24"/>
      <c r="V26" s="24"/>
      <c r="W26" s="24"/>
      <c r="X26" s="24"/>
      <c r="Y26" s="24"/>
      <c r="Z26" s="24"/>
      <c r="AA26" s="24"/>
      <c r="AB26" s="24"/>
      <c r="AC26" s="24"/>
      <c r="AD26" s="24"/>
      <c r="AE26" s="24"/>
      <c r="AF26" s="24"/>
      <c r="AG26" s="24"/>
      <c r="AH26" s="24"/>
      <c r="AI26" s="24"/>
      <c r="AJ26" s="24"/>
      <c r="AK26" s="24"/>
      <c r="AL26" s="24"/>
    </row>
    <row r="27" spans="1:38" x14ac:dyDescent="0.35">
      <c r="A27" s="24"/>
      <c r="B27" s="24"/>
      <c r="C27" s="24"/>
      <c r="D27" s="24"/>
      <c r="E27" s="24"/>
      <c r="F27" s="24"/>
      <c r="G27" s="24"/>
      <c r="H27" s="24"/>
      <c r="I27" s="24"/>
      <c r="J27" s="24"/>
      <c r="K27" s="24"/>
      <c r="L27" s="24"/>
      <c r="M27" s="24"/>
      <c r="N27" s="33" t="str">
        <v>C0012</v>
      </c>
      <c r="O27" s="34">
        <v>1438</v>
      </c>
      <c r="P27" s="34">
        <v>1616</v>
      </c>
      <c r="Q27" s="34">
        <v>866</v>
      </c>
      <c r="R27" s="34">
        <v>829</v>
      </c>
      <c r="S27" s="34">
        <v>2070</v>
      </c>
      <c r="T27" s="35">
        <v>6819</v>
      </c>
      <c r="U27" s="24"/>
      <c r="V27" s="24"/>
      <c r="W27" s="24"/>
      <c r="X27" s="24"/>
      <c r="Y27" s="24"/>
      <c r="Z27" s="24"/>
      <c r="AA27" s="24"/>
      <c r="AB27" s="24"/>
      <c r="AC27" s="24"/>
      <c r="AD27" s="24"/>
      <c r="AE27" s="24"/>
      <c r="AF27" s="24"/>
      <c r="AG27" s="24"/>
      <c r="AH27" s="24"/>
      <c r="AI27" s="24"/>
      <c r="AJ27" s="24"/>
      <c r="AK27" s="24"/>
      <c r="AL27" s="24"/>
    </row>
    <row r="28" spans="1:38" x14ac:dyDescent="0.35">
      <c r="A28" s="24"/>
      <c r="B28" s="24"/>
      <c r="C28" s="24"/>
      <c r="D28" s="24"/>
      <c r="E28" s="24"/>
      <c r="F28" s="24"/>
      <c r="G28" s="24"/>
      <c r="H28" s="24"/>
      <c r="I28" s="24"/>
      <c r="J28" s="24"/>
      <c r="K28" s="24"/>
      <c r="L28" s="24"/>
      <c r="M28" s="24"/>
      <c r="N28" s="41" t="str">
        <v>Cleveland</v>
      </c>
      <c r="O28" s="34" t="str">
        <v/>
      </c>
      <c r="P28" s="34" t="str">
        <v/>
      </c>
      <c r="Q28" s="34" t="str">
        <v/>
      </c>
      <c r="R28" s="34" t="str">
        <v/>
      </c>
      <c r="S28" s="34" t="str">
        <v/>
      </c>
      <c r="T28" s="35" t="str">
        <v/>
      </c>
      <c r="U28" s="24"/>
      <c r="V28" s="24"/>
      <c r="W28" s="24"/>
      <c r="X28" s="24"/>
      <c r="Y28" s="24"/>
      <c r="Z28" s="24"/>
      <c r="AA28" s="24"/>
      <c r="AB28" s="24"/>
      <c r="AC28" s="24"/>
      <c r="AD28" s="24"/>
      <c r="AE28" s="24"/>
      <c r="AF28" s="24"/>
      <c r="AG28" s="24"/>
      <c r="AH28" s="24"/>
      <c r="AI28" s="24"/>
      <c r="AJ28" s="24"/>
      <c r="AK28" s="24"/>
      <c r="AL28" s="24"/>
    </row>
    <row r="29" spans="1:38" x14ac:dyDescent="0.35">
      <c r="A29" s="24"/>
      <c r="B29" s="24"/>
      <c r="C29" s="24"/>
      <c r="D29" s="24"/>
      <c r="E29" s="24"/>
      <c r="F29" s="24"/>
      <c r="G29" s="24"/>
      <c r="H29" s="24"/>
      <c r="I29" s="24"/>
      <c r="J29" s="24"/>
      <c r="K29" s="24"/>
      <c r="L29" s="24"/>
      <c r="M29" s="24"/>
      <c r="N29" s="33" t="str">
        <v>C0002</v>
      </c>
      <c r="O29" s="34">
        <v>1233</v>
      </c>
      <c r="P29" s="34">
        <v>223</v>
      </c>
      <c r="Q29" s="34">
        <v>1680</v>
      </c>
      <c r="R29" s="34">
        <v>990</v>
      </c>
      <c r="S29" s="34">
        <v>1508</v>
      </c>
      <c r="T29" s="35">
        <v>5634</v>
      </c>
      <c r="U29" s="24"/>
      <c r="V29" s="24"/>
      <c r="W29" s="24"/>
      <c r="X29" s="24"/>
      <c r="Y29" s="24"/>
      <c r="Z29" s="24"/>
      <c r="AA29" s="24"/>
      <c r="AB29" s="24"/>
      <c r="AC29" s="24"/>
      <c r="AD29" s="24"/>
      <c r="AE29" s="24"/>
      <c r="AF29" s="24"/>
      <c r="AG29" s="24"/>
      <c r="AH29" s="24"/>
      <c r="AI29" s="24"/>
      <c r="AJ29" s="24"/>
      <c r="AK29" s="24"/>
      <c r="AL29" s="24"/>
    </row>
    <row r="30" spans="1:38" x14ac:dyDescent="0.35">
      <c r="A30" s="24"/>
      <c r="B30" s="24"/>
      <c r="C30" s="24"/>
      <c r="D30" s="24"/>
      <c r="E30" s="24"/>
      <c r="F30" s="24"/>
      <c r="G30" s="24"/>
      <c r="H30" s="24"/>
      <c r="I30" s="24"/>
      <c r="J30" s="24"/>
      <c r="K30" s="24"/>
      <c r="L30" s="24"/>
      <c r="M30" s="24"/>
      <c r="N30" s="33" t="str">
        <v>C0007</v>
      </c>
      <c r="O30" s="34">
        <v>1598</v>
      </c>
      <c r="P30" s="34">
        <v>1907</v>
      </c>
      <c r="Q30" s="34">
        <v>869</v>
      </c>
      <c r="R30" s="34">
        <v>1426</v>
      </c>
      <c r="S30" s="34">
        <v>1416</v>
      </c>
      <c r="T30" s="35">
        <v>7216</v>
      </c>
      <c r="U30" s="24"/>
      <c r="V30" s="24"/>
      <c r="W30" s="24"/>
      <c r="X30" s="24"/>
      <c r="Y30" s="24"/>
      <c r="Z30" s="24"/>
      <c r="AA30" s="24"/>
      <c r="AB30" s="24"/>
      <c r="AC30" s="24"/>
      <c r="AD30" s="24"/>
      <c r="AE30" s="24"/>
      <c r="AF30" s="24"/>
      <c r="AG30" s="24"/>
      <c r="AH30" s="24"/>
      <c r="AI30" s="24"/>
      <c r="AJ30" s="24"/>
      <c r="AK30" s="24"/>
      <c r="AL30" s="24"/>
    </row>
    <row r="31" spans="1:38" x14ac:dyDescent="0.35">
      <c r="A31" s="24"/>
      <c r="B31" s="24"/>
      <c r="C31" s="24"/>
      <c r="D31" s="24"/>
      <c r="E31" s="24"/>
      <c r="F31" s="24"/>
      <c r="G31" s="24"/>
      <c r="H31" s="24"/>
      <c r="I31" s="24"/>
      <c r="J31" s="24"/>
      <c r="K31" s="24"/>
      <c r="L31" s="24"/>
      <c r="M31" s="24"/>
      <c r="N31" s="33" t="str">
        <v>C0008</v>
      </c>
      <c r="O31" s="34">
        <v>900</v>
      </c>
      <c r="P31" s="34">
        <v>1016</v>
      </c>
      <c r="Q31" s="34">
        <v>960</v>
      </c>
      <c r="R31" s="34">
        <v>940</v>
      </c>
      <c r="S31" s="34">
        <v>1193</v>
      </c>
      <c r="T31" s="35">
        <v>5009</v>
      </c>
      <c r="U31" s="24"/>
      <c r="V31" s="24"/>
      <c r="W31" s="24"/>
      <c r="X31" s="24"/>
      <c r="Y31" s="24"/>
      <c r="Z31" s="24"/>
      <c r="AA31" s="24"/>
      <c r="AB31" s="24"/>
      <c r="AC31" s="24"/>
      <c r="AD31" s="24"/>
      <c r="AE31" s="24"/>
      <c r="AF31" s="24"/>
      <c r="AG31" s="24"/>
      <c r="AH31" s="24"/>
      <c r="AI31" s="24"/>
      <c r="AJ31" s="24"/>
      <c r="AK31" s="24"/>
      <c r="AL31" s="24"/>
    </row>
    <row r="32" spans="1:38" x14ac:dyDescent="0.35">
      <c r="A32" s="24"/>
      <c r="B32" s="24"/>
      <c r="C32" s="24"/>
      <c r="D32" s="24"/>
      <c r="E32" s="24"/>
      <c r="F32" s="24"/>
      <c r="G32" s="24"/>
      <c r="H32" s="24"/>
      <c r="I32" s="24"/>
      <c r="J32" s="24"/>
      <c r="K32" s="24"/>
      <c r="L32" s="24"/>
      <c r="M32" s="24"/>
      <c r="N32" s="33" t="str">
        <v>C0010</v>
      </c>
      <c r="O32" s="34">
        <v>900</v>
      </c>
      <c r="P32" s="34">
        <v>1470</v>
      </c>
      <c r="Q32" s="34">
        <v>1617</v>
      </c>
      <c r="R32" s="34">
        <v>1314</v>
      </c>
      <c r="S32" s="34">
        <v>941</v>
      </c>
      <c r="T32" s="35">
        <v>6242</v>
      </c>
      <c r="U32" s="24"/>
      <c r="V32" s="24"/>
      <c r="W32" s="24"/>
      <c r="X32" s="24"/>
      <c r="Y32" s="24"/>
      <c r="Z32" s="24"/>
      <c r="AA32" s="24"/>
      <c r="AB32" s="24"/>
      <c r="AC32" s="24"/>
      <c r="AD32" s="24"/>
      <c r="AE32" s="24"/>
      <c r="AF32" s="24"/>
      <c r="AG32" s="24"/>
      <c r="AH32" s="24"/>
      <c r="AI32" s="24"/>
      <c r="AJ32" s="24"/>
      <c r="AK32" s="24"/>
      <c r="AL32" s="24"/>
    </row>
    <row r="33" spans="1:38" x14ac:dyDescent="0.35">
      <c r="A33" s="24"/>
      <c r="B33" s="24"/>
      <c r="C33" s="24"/>
      <c r="D33" s="24"/>
      <c r="E33" s="24"/>
      <c r="F33" s="24"/>
      <c r="G33" s="24"/>
      <c r="H33" s="24"/>
      <c r="I33" s="24"/>
      <c r="J33" s="24"/>
      <c r="K33" s="24"/>
      <c r="L33" s="45" t="e" vm="1">
        <f>pivots!K106</f>
        <v>#VALUE!</v>
      </c>
      <c r="M33" s="46"/>
      <c r="N33" s="33" t="str">
        <v>C0013</v>
      </c>
      <c r="O33" s="34">
        <v>1255</v>
      </c>
      <c r="P33" s="34">
        <v>516</v>
      </c>
      <c r="Q33" s="34">
        <v>1874</v>
      </c>
      <c r="R33" s="34">
        <v>1863</v>
      </c>
      <c r="S33" s="34">
        <v>1722</v>
      </c>
      <c r="T33" s="35">
        <v>7230</v>
      </c>
      <c r="U33" s="24"/>
      <c r="V33" s="24"/>
      <c r="W33" s="24"/>
      <c r="X33" s="24"/>
      <c r="Y33" s="24"/>
      <c r="Z33" s="24"/>
      <c r="AA33" s="24"/>
      <c r="AB33" s="24"/>
      <c r="AC33" s="24"/>
      <c r="AD33" s="24"/>
      <c r="AE33" s="24"/>
      <c r="AF33" s="24"/>
      <c r="AG33" s="24"/>
      <c r="AH33" s="24"/>
      <c r="AI33" s="24"/>
      <c r="AJ33" s="24"/>
      <c r="AK33" s="24"/>
      <c r="AL33" s="24"/>
    </row>
    <row r="34" spans="1:38" x14ac:dyDescent="0.35">
      <c r="A34" s="24"/>
      <c r="B34" s="24"/>
      <c r="C34" s="24"/>
      <c r="D34" s="24"/>
      <c r="E34" s="24"/>
      <c r="F34" s="24"/>
      <c r="G34" s="24"/>
      <c r="H34" s="24"/>
      <c r="I34" s="24"/>
      <c r="J34" s="24"/>
      <c r="K34" s="24"/>
      <c r="L34" s="45"/>
      <c r="M34" s="46"/>
      <c r="N34" s="33" t="str">
        <v>C0015</v>
      </c>
      <c r="O34" s="34">
        <v>1138</v>
      </c>
      <c r="P34" s="34">
        <v>1898</v>
      </c>
      <c r="Q34" s="34">
        <v>1482</v>
      </c>
      <c r="R34" s="34">
        <v>846</v>
      </c>
      <c r="S34" s="34">
        <v>1154</v>
      </c>
      <c r="T34" s="35">
        <v>6518</v>
      </c>
      <c r="U34" s="24"/>
      <c r="V34" s="24"/>
      <c r="W34" s="24"/>
      <c r="X34" s="24"/>
      <c r="Y34" s="24"/>
      <c r="Z34" s="24"/>
      <c r="AA34" s="24"/>
      <c r="AB34" s="24"/>
      <c r="AC34" s="24"/>
      <c r="AD34" s="24"/>
      <c r="AE34" s="24"/>
      <c r="AF34" s="24"/>
      <c r="AG34" s="24"/>
      <c r="AH34" s="24"/>
      <c r="AI34" s="24"/>
      <c r="AJ34" s="24"/>
      <c r="AK34" s="24"/>
      <c r="AL34" s="24"/>
    </row>
    <row r="35" spans="1:38" x14ac:dyDescent="0.35">
      <c r="A35" s="24"/>
      <c r="B35" s="24"/>
      <c r="C35" s="24"/>
      <c r="D35" s="24"/>
      <c r="E35" s="24"/>
      <c r="F35" s="24"/>
      <c r="G35" s="24"/>
      <c r="H35" s="24"/>
      <c r="I35" s="24"/>
      <c r="J35" s="24"/>
      <c r="K35" s="24"/>
      <c r="L35" s="45"/>
      <c r="M35" s="46"/>
      <c r="N35" s="41" t="str">
        <v>Columbus</v>
      </c>
      <c r="O35" s="34" t="str">
        <v/>
      </c>
      <c r="P35" s="34" t="str">
        <v/>
      </c>
      <c r="Q35" s="34" t="str">
        <v/>
      </c>
      <c r="R35" s="34" t="str">
        <v/>
      </c>
      <c r="S35" s="34" t="str">
        <v/>
      </c>
      <c r="T35" s="35" t="str">
        <v/>
      </c>
      <c r="U35" s="24"/>
      <c r="V35" s="24"/>
      <c r="W35" s="24"/>
      <c r="X35" s="24"/>
      <c r="Y35" s="24"/>
      <c r="Z35" s="24"/>
      <c r="AA35" s="24"/>
      <c r="AB35" s="24"/>
      <c r="AC35" s="24"/>
      <c r="AD35" s="24"/>
      <c r="AE35" s="24"/>
      <c r="AF35" s="24"/>
      <c r="AG35" s="24"/>
      <c r="AH35" s="24"/>
      <c r="AI35" s="24"/>
      <c r="AJ35" s="24"/>
      <c r="AK35" s="24"/>
      <c r="AL35" s="24"/>
    </row>
    <row r="36" spans="1:38" x14ac:dyDescent="0.35">
      <c r="A36" s="24"/>
      <c r="B36" s="24"/>
      <c r="C36" s="24"/>
      <c r="D36" s="24"/>
      <c r="E36" s="24"/>
      <c r="F36" s="24"/>
      <c r="G36" s="24"/>
      <c r="H36" s="24"/>
      <c r="I36" s="24"/>
      <c r="J36" s="24"/>
      <c r="K36" s="24"/>
      <c r="L36" s="45"/>
      <c r="M36" s="46"/>
      <c r="N36" s="33" t="str">
        <v>C0001</v>
      </c>
      <c r="O36" s="34">
        <v>1655</v>
      </c>
      <c r="P36" s="34">
        <v>805</v>
      </c>
      <c r="Q36" s="34">
        <v>2263</v>
      </c>
      <c r="R36" s="34">
        <v>987</v>
      </c>
      <c r="S36" s="34">
        <v>1075</v>
      </c>
      <c r="T36" s="35">
        <v>6785</v>
      </c>
      <c r="U36" s="24"/>
      <c r="V36" s="24"/>
      <c r="W36" s="24"/>
      <c r="X36" s="24"/>
      <c r="Y36" s="24"/>
      <c r="Z36" s="24"/>
      <c r="AA36" s="24"/>
      <c r="AB36" s="24"/>
      <c r="AC36" s="24"/>
      <c r="AD36" s="24"/>
      <c r="AE36" s="24"/>
      <c r="AF36" s="24"/>
      <c r="AG36" s="24"/>
      <c r="AH36" s="24"/>
      <c r="AI36" s="24"/>
      <c r="AJ36" s="24"/>
      <c r="AK36" s="24"/>
      <c r="AL36" s="24"/>
    </row>
    <row r="37" spans="1:38" x14ac:dyDescent="0.35">
      <c r="A37" s="24"/>
      <c r="B37" s="24"/>
      <c r="C37" s="24"/>
      <c r="D37" s="24"/>
      <c r="E37" s="24"/>
      <c r="F37" s="24"/>
      <c r="G37" s="24"/>
      <c r="H37" s="24"/>
      <c r="I37" s="24"/>
      <c r="J37" s="24"/>
      <c r="K37" s="24"/>
      <c r="L37" s="47" t="str">
        <f>pivots!K102</f>
        <v>% of calls:21%</v>
      </c>
      <c r="M37" s="48"/>
      <c r="N37" s="33" t="str">
        <v>C0005</v>
      </c>
      <c r="O37" s="34">
        <v>1104</v>
      </c>
      <c r="P37" s="34">
        <v>2280</v>
      </c>
      <c r="Q37" s="34">
        <v>1445</v>
      </c>
      <c r="R37" s="34">
        <v>1722</v>
      </c>
      <c r="S37" s="34">
        <v>1196</v>
      </c>
      <c r="T37" s="35">
        <v>7747</v>
      </c>
      <c r="U37" s="24"/>
      <c r="V37" s="24"/>
      <c r="W37" s="24"/>
      <c r="X37" s="24"/>
      <c r="Y37" s="24"/>
      <c r="Z37" s="24"/>
      <c r="AA37" s="24"/>
      <c r="AB37" s="24"/>
      <c r="AC37" s="24"/>
      <c r="AD37" s="24"/>
      <c r="AE37" s="24"/>
      <c r="AF37" s="24"/>
      <c r="AG37" s="24"/>
      <c r="AH37" s="24"/>
      <c r="AI37" s="24"/>
      <c r="AJ37" s="24"/>
      <c r="AK37" s="24"/>
      <c r="AL37" s="24"/>
    </row>
    <row r="38" spans="1:38" x14ac:dyDescent="0.35">
      <c r="A38" s="24"/>
      <c r="B38" s="24"/>
      <c r="C38" s="24"/>
      <c r="D38" s="24"/>
      <c r="E38" s="24"/>
      <c r="F38" s="24"/>
      <c r="G38" s="24"/>
      <c r="H38" s="24"/>
      <c r="I38" s="24"/>
      <c r="J38" s="24"/>
      <c r="K38" s="24"/>
      <c r="L38" s="47" t="str">
        <f>pivots!K103</f>
        <v>Call Rank:2</v>
      </c>
      <c r="M38" s="48"/>
      <c r="N38" s="33" t="str">
        <v>C0006</v>
      </c>
      <c r="O38" s="34">
        <v>372</v>
      </c>
      <c r="P38" s="34">
        <v>1818</v>
      </c>
      <c r="Q38" s="34">
        <v>1346</v>
      </c>
      <c r="R38" s="34">
        <v>1156</v>
      </c>
      <c r="S38" s="34">
        <v>1484</v>
      </c>
      <c r="T38" s="35">
        <v>6176</v>
      </c>
      <c r="U38" s="24"/>
      <c r="V38" s="24"/>
      <c r="W38" s="24"/>
      <c r="X38" s="24"/>
      <c r="Y38" s="24"/>
      <c r="Z38" s="24"/>
      <c r="AA38" s="24"/>
      <c r="AB38" s="24"/>
      <c r="AC38" s="24"/>
      <c r="AD38" s="24"/>
      <c r="AE38" s="24"/>
      <c r="AF38" s="24"/>
      <c r="AG38" s="24"/>
      <c r="AH38" s="24"/>
      <c r="AI38" s="24"/>
      <c r="AJ38" s="24"/>
      <c r="AK38" s="24"/>
      <c r="AL38" s="24"/>
    </row>
    <row r="39" spans="1:38" x14ac:dyDescent="0.35">
      <c r="A39" s="24"/>
      <c r="B39" s="24"/>
      <c r="C39" s="24"/>
      <c r="D39" s="24"/>
      <c r="E39" s="24"/>
      <c r="F39" s="24"/>
      <c r="G39" s="24"/>
      <c r="H39" s="24"/>
      <c r="I39" s="24"/>
      <c r="J39" s="24"/>
      <c r="K39" s="24"/>
      <c r="L39" s="47" t="str">
        <f>pivots!K104</f>
        <v>Amount Rank:1</v>
      </c>
      <c r="M39" s="48"/>
      <c r="N39" s="33" t="str">
        <v>C0009</v>
      </c>
      <c r="O39" s="34">
        <v>1415</v>
      </c>
      <c r="P39" s="34">
        <v>1271</v>
      </c>
      <c r="Q39" s="34">
        <v>1214</v>
      </c>
      <c r="R39" s="34">
        <v>1135</v>
      </c>
      <c r="S39" s="34">
        <v>1566</v>
      </c>
      <c r="T39" s="35">
        <v>6601</v>
      </c>
      <c r="U39" s="24"/>
      <c r="V39" s="24"/>
      <c r="W39" s="24"/>
      <c r="X39" s="24"/>
      <c r="Y39" s="24"/>
      <c r="Z39" s="24"/>
      <c r="AA39" s="24"/>
      <c r="AB39" s="24"/>
      <c r="AC39" s="24"/>
      <c r="AD39" s="24"/>
      <c r="AE39" s="24"/>
      <c r="AF39" s="24"/>
      <c r="AG39" s="24"/>
      <c r="AH39" s="24"/>
      <c r="AI39" s="24"/>
      <c r="AJ39" s="24"/>
      <c r="AK39" s="24"/>
      <c r="AL39" s="24"/>
    </row>
    <row r="40" spans="1:38" x14ac:dyDescent="0.35">
      <c r="A40" s="24"/>
      <c r="B40" s="24"/>
      <c r="C40" s="24"/>
      <c r="D40" s="24"/>
      <c r="E40" s="24"/>
      <c r="F40" s="24"/>
      <c r="G40" s="24"/>
      <c r="H40" s="24"/>
      <c r="I40" s="24"/>
      <c r="J40" s="24"/>
      <c r="K40" s="24"/>
      <c r="L40" s="42"/>
      <c r="M40" s="43"/>
      <c r="N40" s="36" t="str">
        <v>C0014</v>
      </c>
      <c r="O40" s="37">
        <v>1362</v>
      </c>
      <c r="P40" s="37">
        <v>1363</v>
      </c>
      <c r="Q40" s="37">
        <v>1152</v>
      </c>
      <c r="R40" s="37">
        <v>777</v>
      </c>
      <c r="S40" s="37">
        <v>750</v>
      </c>
      <c r="T40" s="38">
        <v>5404</v>
      </c>
      <c r="U40" s="24"/>
      <c r="V40" s="24"/>
      <c r="W40" s="24"/>
      <c r="X40" s="24"/>
      <c r="Y40" s="24"/>
      <c r="Z40" s="24"/>
      <c r="AA40" s="24"/>
      <c r="AB40" s="24"/>
      <c r="AC40" s="24"/>
      <c r="AD40" s="24"/>
      <c r="AE40" s="24"/>
      <c r="AF40" s="24"/>
      <c r="AG40" s="24"/>
      <c r="AH40" s="24"/>
      <c r="AI40" s="24"/>
      <c r="AJ40" s="24"/>
      <c r="AK40" s="24"/>
      <c r="AL40" s="24"/>
    </row>
    <row r="41" spans="1:38" x14ac:dyDescent="0.3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row>
    <row r="42" spans="1:38" x14ac:dyDescent="0.3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row>
    <row r="43" spans="1:38" x14ac:dyDescent="0.3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row>
    <row r="44" spans="1:38" x14ac:dyDescent="0.3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row>
    <row r="45" spans="1:38" x14ac:dyDescent="0.3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row>
    <row r="46" spans="1:38" x14ac:dyDescent="0.3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row>
    <row r="47" spans="1:38" x14ac:dyDescent="0.3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row>
  </sheetData>
  <mergeCells count="5">
    <mergeCell ref="L33:M36"/>
    <mergeCell ref="L37:M37"/>
    <mergeCell ref="L38:M38"/>
    <mergeCell ref="L39:M39"/>
    <mergeCell ref="B1:W1"/>
  </mergeCells>
  <conditionalFormatting sqref="O24:S40">
    <cfRule type="dataBar" priority="4">
      <dataBar>
        <cfvo type="num" val="0"/>
        <cfvo type="formula" val="MAX($O$24:$S$40)*2"/>
        <color theme="1" tint="0.14999847407452621"/>
      </dataBar>
      <extLst>
        <ext xmlns:x14="http://schemas.microsoft.com/office/spreadsheetml/2009/9/main" uri="{B025F937-C7B1-47D3-B67F-A62EFF666E3E}">
          <x14:id>{6A745D23-D5EC-4A3A-82B9-E67DA197E0C7}</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7" id="{614C0DDC-E81B-44EC-BDD7-144F28D43976}">
            <xm:f>O$22=pivots!$A$71</xm:f>
            <x14:dxf>
              <fill>
                <patternFill>
                  <bgColor theme="8" tint="0.39994506668294322"/>
                </patternFill>
              </fill>
              <border>
                <left style="thin">
                  <color theme="1" tint="0.14996795556505021"/>
                </left>
                <right/>
                <vertical/>
                <horizontal/>
              </border>
            </x14:dxf>
          </x14:cfRule>
          <xm:sqref>O22:S40</xm:sqref>
        </x14:conditionalFormatting>
        <x14:conditionalFormatting xmlns:xm="http://schemas.microsoft.com/office/excel/2006/main">
          <x14:cfRule type="dataBar" id="{6A745D23-D5EC-4A3A-82B9-E67DA197E0C7}">
            <x14:dataBar minLength="0" maxLength="100" gradient="0">
              <x14:cfvo type="num">
                <xm:f>0</xm:f>
              </x14:cfvo>
              <x14:cfvo type="formula">
                <xm:f>MAX($O$24:$S$40)*2</xm:f>
              </x14:cfvo>
              <x14:negativeFillColor rgb="FFFF0000"/>
              <x14:axisColor rgb="FF000000"/>
            </x14:dataBar>
          </x14:cfRule>
          <xm:sqref>O24:S40</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DE180-A057-4C80-A38B-B512F8D3FE46}">
  <dimension ref="A3:P124"/>
  <sheetViews>
    <sheetView topLeftCell="A97" zoomScale="96" zoomScaleNormal="111" workbookViewId="0">
      <selection activeCell="K106" sqref="K106"/>
    </sheetView>
  </sheetViews>
  <sheetFormatPr defaultRowHeight="14.5" x14ac:dyDescent="0.35"/>
  <cols>
    <col min="1" max="1" width="14" bestFit="1" customWidth="1"/>
    <col min="2" max="2" width="9.7265625" bestFit="1" customWidth="1"/>
    <col min="3" max="3" width="10.7265625" bestFit="1" customWidth="1"/>
    <col min="4" max="4" width="10" bestFit="1" customWidth="1"/>
    <col min="5" max="5" width="7.7265625" bestFit="1" customWidth="1"/>
    <col min="6" max="6" width="6.54296875" bestFit="1" customWidth="1"/>
    <col min="7" max="7" width="12.1796875" customWidth="1"/>
    <col min="8" max="8" width="9.7265625" customWidth="1"/>
    <col min="9" max="9" width="9.1796875" bestFit="1" customWidth="1"/>
    <col min="10" max="10" width="14" bestFit="1" customWidth="1"/>
    <col min="11" max="11" width="9.7265625" bestFit="1" customWidth="1"/>
    <col min="12" max="12" width="12.54296875" customWidth="1"/>
  </cols>
  <sheetData>
    <row r="3" spans="1:11" x14ac:dyDescent="0.35">
      <c r="A3" t="s">
        <v>1043</v>
      </c>
      <c r="B3" t="s">
        <v>1044</v>
      </c>
      <c r="C3" t="s">
        <v>1045</v>
      </c>
      <c r="D3" t="s">
        <v>1046</v>
      </c>
      <c r="E3" t="s">
        <v>1047</v>
      </c>
    </row>
    <row r="4" spans="1:11" x14ac:dyDescent="0.35">
      <c r="A4" s="20">
        <v>1000</v>
      </c>
      <c r="B4" s="21">
        <v>96623</v>
      </c>
      <c r="C4" s="20">
        <v>89850</v>
      </c>
      <c r="D4" s="22">
        <v>3.8854000000000033</v>
      </c>
      <c r="E4" s="20">
        <v>307</v>
      </c>
    </row>
    <row r="8" spans="1:11" x14ac:dyDescent="0.35">
      <c r="A8" t="s">
        <v>1043</v>
      </c>
      <c r="B8" t="s">
        <v>1044</v>
      </c>
      <c r="C8" t="s">
        <v>1045</v>
      </c>
      <c r="D8" t="s">
        <v>1046</v>
      </c>
      <c r="E8" t="s">
        <v>1047</v>
      </c>
    </row>
    <row r="9" spans="1:11" x14ac:dyDescent="0.35">
      <c r="A9" s="20">
        <v>207</v>
      </c>
      <c r="B9" s="21">
        <v>20872</v>
      </c>
      <c r="C9" s="20">
        <v>17700</v>
      </c>
      <c r="D9" s="22">
        <v>3.8589371980676304</v>
      </c>
      <c r="E9" s="20">
        <v>60</v>
      </c>
    </row>
    <row r="16" spans="1:11" x14ac:dyDescent="0.35">
      <c r="J16" s="23" t="s">
        <v>1048</v>
      </c>
      <c r="K16" t="s">
        <v>1043</v>
      </c>
    </row>
    <row r="17" spans="1:11" x14ac:dyDescent="0.35">
      <c r="J17" s="25" t="s">
        <v>1049</v>
      </c>
      <c r="K17" s="20">
        <v>30</v>
      </c>
    </row>
    <row r="18" spans="1:11" x14ac:dyDescent="0.35">
      <c r="J18" s="25" t="s">
        <v>1050</v>
      </c>
      <c r="K18" s="20">
        <v>34</v>
      </c>
    </row>
    <row r="19" spans="1:11" x14ac:dyDescent="0.35">
      <c r="J19" s="25" t="s">
        <v>1051</v>
      </c>
      <c r="K19" s="20">
        <v>26</v>
      </c>
    </row>
    <row r="20" spans="1:11" x14ac:dyDescent="0.35">
      <c r="A20" s="23" t="s">
        <v>1048</v>
      </c>
      <c r="B20" t="s">
        <v>1043</v>
      </c>
      <c r="C20" t="s">
        <v>1052</v>
      </c>
      <c r="J20" s="25" t="s">
        <v>1053</v>
      </c>
      <c r="K20" s="20">
        <v>38</v>
      </c>
    </row>
    <row r="21" spans="1:11" x14ac:dyDescent="0.35">
      <c r="A21" s="25" t="s">
        <v>1054</v>
      </c>
      <c r="B21" s="20">
        <v>13</v>
      </c>
      <c r="C21" s="20">
        <v>13</v>
      </c>
      <c r="J21" s="25" t="s">
        <v>1055</v>
      </c>
      <c r="K21" s="20">
        <v>27</v>
      </c>
    </row>
    <row r="22" spans="1:11" x14ac:dyDescent="0.35">
      <c r="A22" s="25" t="s">
        <v>1056</v>
      </c>
      <c r="B22" s="20">
        <v>13</v>
      </c>
      <c r="C22" s="20">
        <v>13</v>
      </c>
      <c r="J22" s="25" t="s">
        <v>1057</v>
      </c>
      <c r="K22" s="20">
        <v>27</v>
      </c>
    </row>
    <row r="23" spans="1:11" x14ac:dyDescent="0.35">
      <c r="A23" s="25" t="s">
        <v>1058</v>
      </c>
      <c r="B23" s="20">
        <v>28</v>
      </c>
      <c r="C23" s="20">
        <v>28</v>
      </c>
      <c r="J23" s="25" t="s">
        <v>1059</v>
      </c>
      <c r="K23" s="20">
        <v>25</v>
      </c>
    </row>
    <row r="24" spans="1:11" x14ac:dyDescent="0.35">
      <c r="A24" s="25" t="s">
        <v>1060</v>
      </c>
      <c r="B24" s="20">
        <v>24</v>
      </c>
      <c r="C24" s="20">
        <v>24</v>
      </c>
      <c r="J24" s="25" t="s">
        <v>1061</v>
      </c>
      <c r="K24" s="20">
        <v>207</v>
      </c>
    </row>
    <row r="25" spans="1:11" x14ac:dyDescent="0.35">
      <c r="A25" s="25" t="s">
        <v>1062</v>
      </c>
      <c r="B25" s="20">
        <v>23</v>
      </c>
      <c r="C25" s="20">
        <v>23</v>
      </c>
    </row>
    <row r="26" spans="1:11" x14ac:dyDescent="0.35">
      <c r="A26" s="25" t="s">
        <v>1063</v>
      </c>
      <c r="B26" s="20">
        <v>17</v>
      </c>
      <c r="C26" s="20">
        <v>17</v>
      </c>
    </row>
    <row r="27" spans="1:11" x14ac:dyDescent="0.35">
      <c r="A27" s="25" t="s">
        <v>1064</v>
      </c>
      <c r="B27" s="20">
        <v>11</v>
      </c>
      <c r="C27" s="20">
        <v>11</v>
      </c>
    </row>
    <row r="28" spans="1:11" x14ac:dyDescent="0.35">
      <c r="A28" s="25" t="s">
        <v>1065</v>
      </c>
      <c r="B28" s="20">
        <v>11</v>
      </c>
      <c r="C28" s="20">
        <v>11</v>
      </c>
    </row>
    <row r="29" spans="1:11" x14ac:dyDescent="0.35">
      <c r="A29" s="25" t="s">
        <v>1066</v>
      </c>
      <c r="B29" s="20">
        <v>14</v>
      </c>
      <c r="C29" s="20">
        <v>14</v>
      </c>
    </row>
    <row r="30" spans="1:11" x14ac:dyDescent="0.35">
      <c r="A30" s="25" t="s">
        <v>1067</v>
      </c>
      <c r="B30" s="20">
        <v>30</v>
      </c>
      <c r="C30" s="20">
        <v>30</v>
      </c>
    </row>
    <row r="31" spans="1:11" x14ac:dyDescent="0.35">
      <c r="A31" s="25" t="s">
        <v>1068</v>
      </c>
      <c r="B31" s="20">
        <v>14</v>
      </c>
      <c r="C31" s="20">
        <v>14</v>
      </c>
    </row>
    <row r="32" spans="1:11" x14ac:dyDescent="0.35">
      <c r="A32" s="25" t="s">
        <v>1069</v>
      </c>
      <c r="B32" s="20">
        <v>9</v>
      </c>
      <c r="C32" s="20">
        <v>9</v>
      </c>
    </row>
    <row r="33" spans="1:3" x14ac:dyDescent="0.35">
      <c r="A33" s="25" t="s">
        <v>1061</v>
      </c>
      <c r="B33" s="20">
        <v>207</v>
      </c>
      <c r="C33" s="20">
        <v>207</v>
      </c>
    </row>
    <row r="49" spans="1:11" x14ac:dyDescent="0.35">
      <c r="F49" t="s">
        <v>1070</v>
      </c>
      <c r="J49" t="s">
        <v>1071</v>
      </c>
      <c r="K49" t="str">
        <f>A71</f>
        <v>R03</v>
      </c>
    </row>
    <row r="51" spans="1:11" x14ac:dyDescent="0.35">
      <c r="F51" t="s">
        <v>1072</v>
      </c>
      <c r="G51" t="s">
        <v>1073</v>
      </c>
      <c r="H51" t="s">
        <v>1074</v>
      </c>
      <c r="I51" t="s">
        <v>1075</v>
      </c>
      <c r="J51" t="s">
        <v>1076</v>
      </c>
    </row>
    <row r="52" spans="1:11" x14ac:dyDescent="0.35">
      <c r="A52" s="23" t="s">
        <v>1048</v>
      </c>
      <c r="B52" t="s">
        <v>1043</v>
      </c>
      <c r="C52" t="s">
        <v>1044</v>
      </c>
      <c r="F52" t="str" cm="1">
        <f t="array" ref="F52:H56">A53:C57</f>
        <v>R01</v>
      </c>
      <c r="G52">
        <v>189</v>
      </c>
      <c r="H52" s="27">
        <v>18415</v>
      </c>
      <c r="I52" t="e">
        <f>IF(F52=$K$49,G52,NA())</f>
        <v>#N/A</v>
      </c>
      <c r="J52" t="e">
        <f>IF(F52=K$49,H52,NA())</f>
        <v>#N/A</v>
      </c>
    </row>
    <row r="53" spans="1:11" x14ac:dyDescent="0.35">
      <c r="A53" s="25" t="s">
        <v>33</v>
      </c>
      <c r="B53" s="20">
        <v>189</v>
      </c>
      <c r="C53" s="21">
        <v>18415</v>
      </c>
      <c r="F53" t="str">
        <v>R02</v>
      </c>
      <c r="G53">
        <v>218</v>
      </c>
      <c r="H53" s="27">
        <v>20581</v>
      </c>
      <c r="I53" t="e">
        <f t="shared" ref="I53:I56" si="0">IF(F53=$K$49,G53,NA())</f>
        <v>#N/A</v>
      </c>
      <c r="J53" t="e">
        <f t="shared" ref="J53:J56" si="1">IF(F53=K$49,H53,NA())</f>
        <v>#N/A</v>
      </c>
    </row>
    <row r="54" spans="1:11" x14ac:dyDescent="0.35">
      <c r="A54" s="25" t="s">
        <v>27</v>
      </c>
      <c r="B54" s="20">
        <v>218</v>
      </c>
      <c r="C54" s="21">
        <v>20581</v>
      </c>
      <c r="F54" t="str">
        <v>R03</v>
      </c>
      <c r="G54">
        <v>207</v>
      </c>
      <c r="H54" s="27">
        <v>20872</v>
      </c>
      <c r="I54">
        <f t="shared" si="0"/>
        <v>207</v>
      </c>
      <c r="J54">
        <f t="shared" si="1"/>
        <v>20872</v>
      </c>
    </row>
    <row r="55" spans="1:11" x14ac:dyDescent="0.35">
      <c r="A55" s="25" t="s">
        <v>46</v>
      </c>
      <c r="B55" s="20">
        <v>207</v>
      </c>
      <c r="C55" s="21">
        <v>20872</v>
      </c>
      <c r="F55" t="str">
        <v>R04</v>
      </c>
      <c r="G55">
        <v>186</v>
      </c>
      <c r="H55" s="27">
        <v>16651</v>
      </c>
      <c r="I55" t="e">
        <f t="shared" si="0"/>
        <v>#N/A</v>
      </c>
      <c r="J55" t="e">
        <f t="shared" si="1"/>
        <v>#N/A</v>
      </c>
    </row>
    <row r="56" spans="1:11" x14ac:dyDescent="0.35">
      <c r="A56" s="25" t="s">
        <v>40</v>
      </c>
      <c r="B56" s="20">
        <v>186</v>
      </c>
      <c r="C56" s="21">
        <v>16651</v>
      </c>
      <c r="F56" t="str">
        <v>R05</v>
      </c>
      <c r="G56">
        <v>200</v>
      </c>
      <c r="H56" s="27">
        <v>20104</v>
      </c>
      <c r="I56" t="e">
        <f t="shared" si="0"/>
        <v>#N/A</v>
      </c>
      <c r="J56" t="e">
        <f t="shared" si="1"/>
        <v>#N/A</v>
      </c>
    </row>
    <row r="57" spans="1:11" x14ac:dyDescent="0.35">
      <c r="A57" s="25" t="s">
        <v>17</v>
      </c>
      <c r="B57" s="20">
        <v>200</v>
      </c>
      <c r="C57" s="21">
        <v>20104</v>
      </c>
    </row>
    <row r="58" spans="1:11" x14ac:dyDescent="0.35">
      <c r="A58" s="25" t="s">
        <v>1061</v>
      </c>
      <c r="B58" s="20">
        <v>1000</v>
      </c>
      <c r="C58" s="21">
        <v>96623</v>
      </c>
    </row>
    <row r="67" spans="1:16" x14ac:dyDescent="0.35">
      <c r="P67" s="26"/>
    </row>
    <row r="70" spans="1:16" x14ac:dyDescent="0.35">
      <c r="A70" s="23" t="s">
        <v>1048</v>
      </c>
    </row>
    <row r="71" spans="1:16" x14ac:dyDescent="0.35">
      <c r="A71" s="28" t="s">
        <v>46</v>
      </c>
    </row>
    <row r="77" spans="1:16" x14ac:dyDescent="0.35">
      <c r="A77" s="23" t="s">
        <v>1043</v>
      </c>
      <c r="B77" s="23" t="s">
        <v>1077</v>
      </c>
    </row>
    <row r="78" spans="1:16" x14ac:dyDescent="0.35">
      <c r="A78" s="23" t="s">
        <v>1048</v>
      </c>
      <c r="B78" t="s">
        <v>38</v>
      </c>
      <c r="C78" t="s">
        <v>19</v>
      </c>
      <c r="D78" t="s">
        <v>1061</v>
      </c>
    </row>
    <row r="79" spans="1:16" x14ac:dyDescent="0.35">
      <c r="A79" s="25" t="s">
        <v>28</v>
      </c>
      <c r="B79" s="20">
        <v>144</v>
      </c>
      <c r="C79" s="20">
        <v>132</v>
      </c>
      <c r="D79" s="20">
        <v>276</v>
      </c>
    </row>
    <row r="80" spans="1:16" x14ac:dyDescent="0.35">
      <c r="A80" s="25" t="s">
        <v>24</v>
      </c>
      <c r="B80" s="20">
        <v>326</v>
      </c>
      <c r="C80" s="20">
        <v>63</v>
      </c>
      <c r="D80" s="20">
        <v>389</v>
      </c>
    </row>
    <row r="81" spans="1:8" x14ac:dyDescent="0.35">
      <c r="A81" s="25" t="s">
        <v>20</v>
      </c>
      <c r="B81" s="20">
        <v>129</v>
      </c>
      <c r="C81" s="20">
        <v>206</v>
      </c>
      <c r="D81" s="20">
        <v>335</v>
      </c>
    </row>
    <row r="82" spans="1:8" x14ac:dyDescent="0.35">
      <c r="A82" s="25" t="s">
        <v>1061</v>
      </c>
      <c r="B82" s="20">
        <v>599</v>
      </c>
      <c r="C82" s="20">
        <v>401</v>
      </c>
      <c r="D82" s="20">
        <v>1000</v>
      </c>
    </row>
    <row r="94" spans="1:8" x14ac:dyDescent="0.35">
      <c r="A94" s="23" t="s">
        <v>1048</v>
      </c>
      <c r="B94" t="s">
        <v>1043</v>
      </c>
      <c r="G94" s="14" t="s">
        <v>1078</v>
      </c>
    </row>
    <row r="95" spans="1:8" x14ac:dyDescent="0.35">
      <c r="A95" s="25">
        <v>0</v>
      </c>
      <c r="B95" s="20">
        <v>1</v>
      </c>
    </row>
    <row r="96" spans="1:8" x14ac:dyDescent="0.35">
      <c r="A96" s="25">
        <v>1</v>
      </c>
      <c r="B96" s="20">
        <v>1</v>
      </c>
      <c r="G96" t="s">
        <v>1079</v>
      </c>
      <c r="H96" s="1">
        <f>A9/A4</f>
        <v>0.20699999999999999</v>
      </c>
    </row>
    <row r="97" spans="1:11" x14ac:dyDescent="0.35">
      <c r="A97" s="25">
        <v>2</v>
      </c>
      <c r="B97" s="20">
        <v>11</v>
      </c>
      <c r="G97" t="s">
        <v>1073</v>
      </c>
      <c r="H97">
        <f>_xlfn.XLOOKUP(A71,F52:F56,G52:G56)</f>
        <v>207</v>
      </c>
    </row>
    <row r="98" spans="1:11" x14ac:dyDescent="0.35">
      <c r="A98" s="25">
        <v>3</v>
      </c>
      <c r="B98" s="20">
        <v>46</v>
      </c>
      <c r="G98" t="s">
        <v>1074</v>
      </c>
      <c r="H98">
        <f>_xlfn.XLOOKUP(A71,F52:F56,H52:H56)</f>
        <v>20872</v>
      </c>
    </row>
    <row r="99" spans="1:11" x14ac:dyDescent="0.35">
      <c r="A99" s="25">
        <v>4</v>
      </c>
      <c r="B99" s="20">
        <v>88</v>
      </c>
    </row>
    <row r="100" spans="1:11" x14ac:dyDescent="0.35">
      <c r="A100" s="25">
        <v>5</v>
      </c>
      <c r="B100" s="20">
        <v>60</v>
      </c>
    </row>
    <row r="101" spans="1:11" x14ac:dyDescent="0.35">
      <c r="A101" s="25" t="s">
        <v>1061</v>
      </c>
      <c r="B101" s="20">
        <v>207</v>
      </c>
      <c r="G101" t="s">
        <v>1080</v>
      </c>
      <c r="H101">
        <f>_xlfn.RANK.AVG(H97,G52:G56)</f>
        <v>2</v>
      </c>
    </row>
    <row r="102" spans="1:11" x14ac:dyDescent="0.35">
      <c r="G102" t="s">
        <v>1081</v>
      </c>
      <c r="H102">
        <f>_xlfn.RANK.AVG(H98,H52:H56)</f>
        <v>1</v>
      </c>
      <c r="J102" t="s">
        <v>1082</v>
      </c>
      <c r="K102" t="str">
        <f>"% of calls:"&amp;TEXT(H96,"0%")</f>
        <v>% of calls:21%</v>
      </c>
    </row>
    <row r="103" spans="1:11" x14ac:dyDescent="0.35">
      <c r="K103" t="str">
        <f>IF(COUNTA(A71:A75)&gt;1,"","Call Rank:"&amp;H101)</f>
        <v>Call Rank:2</v>
      </c>
    </row>
    <row r="104" spans="1:11" x14ac:dyDescent="0.35">
      <c r="K104" t="str">
        <f>IF(COUNTA(A71:A75)&gt;1,"","Amount Rank:"&amp;H102)</f>
        <v>Amount Rank:1</v>
      </c>
    </row>
    <row r="105" spans="1:11" x14ac:dyDescent="0.35">
      <c r="A105" s="23" t="s">
        <v>1044</v>
      </c>
      <c r="B105" s="23" t="s">
        <v>1077</v>
      </c>
    </row>
    <row r="106" spans="1:11" x14ac:dyDescent="0.35">
      <c r="A106" s="23" t="s">
        <v>1048</v>
      </c>
      <c r="B106" t="s">
        <v>33</v>
      </c>
      <c r="C106" t="s">
        <v>27</v>
      </c>
      <c r="D106" t="s">
        <v>46</v>
      </c>
      <c r="E106" t="s">
        <v>40</v>
      </c>
      <c r="F106" t="s">
        <v>17</v>
      </c>
      <c r="G106" t="s">
        <v>1061</v>
      </c>
      <c r="J106" t="s">
        <v>1083</v>
      </c>
      <c r="K106" t="e" vm="1">
        <f>IF(COUNTA(A71:A75)&gt;1,"",_xlfn.XLOOKUP(A71,Assets!E3:E7,Assets!F3:F7))</f>
        <v>#VALUE!</v>
      </c>
    </row>
    <row r="107" spans="1:11" x14ac:dyDescent="0.35">
      <c r="A107" s="25" t="s">
        <v>28</v>
      </c>
    </row>
    <row r="108" spans="1:11" x14ac:dyDescent="0.35">
      <c r="A108" s="29" t="s">
        <v>16</v>
      </c>
      <c r="B108" s="21">
        <v>891</v>
      </c>
      <c r="C108" s="21">
        <v>1332</v>
      </c>
      <c r="D108" s="21">
        <v>1282</v>
      </c>
      <c r="E108" s="21">
        <v>739</v>
      </c>
      <c r="F108" s="21">
        <v>560</v>
      </c>
      <c r="G108" s="21">
        <v>4804</v>
      </c>
    </row>
    <row r="109" spans="1:11" x14ac:dyDescent="0.35">
      <c r="A109" s="29" t="s">
        <v>22</v>
      </c>
      <c r="B109" s="21">
        <v>1991</v>
      </c>
      <c r="C109" s="21">
        <v>1886</v>
      </c>
      <c r="D109" s="21">
        <v>1206</v>
      </c>
      <c r="E109" s="21">
        <v>884</v>
      </c>
      <c r="F109" s="21">
        <v>1722</v>
      </c>
      <c r="G109" s="21">
        <v>7689</v>
      </c>
    </row>
    <row r="110" spans="1:11" x14ac:dyDescent="0.35">
      <c r="A110" s="29" t="s">
        <v>32</v>
      </c>
      <c r="B110" s="21">
        <v>1163</v>
      </c>
      <c r="C110" s="21">
        <v>1180</v>
      </c>
      <c r="D110" s="21">
        <v>1616</v>
      </c>
      <c r="E110" s="21">
        <v>1043</v>
      </c>
      <c r="F110" s="21">
        <v>1747</v>
      </c>
      <c r="G110" s="21">
        <v>6749</v>
      </c>
    </row>
    <row r="111" spans="1:11" x14ac:dyDescent="0.35">
      <c r="A111" s="29" t="s">
        <v>50</v>
      </c>
      <c r="B111" s="21">
        <v>1438</v>
      </c>
      <c r="C111" s="21">
        <v>1616</v>
      </c>
      <c r="D111" s="21">
        <v>866</v>
      </c>
      <c r="E111" s="21">
        <v>829</v>
      </c>
      <c r="F111" s="21">
        <v>2070</v>
      </c>
      <c r="G111" s="21">
        <v>6819</v>
      </c>
    </row>
    <row r="112" spans="1:11" x14ac:dyDescent="0.35">
      <c r="A112" s="25" t="s">
        <v>24</v>
      </c>
    </row>
    <row r="113" spans="1:7" x14ac:dyDescent="0.35">
      <c r="A113" s="29" t="s">
        <v>23</v>
      </c>
      <c r="B113" s="21">
        <v>1233</v>
      </c>
      <c r="C113" s="21">
        <v>223</v>
      </c>
      <c r="D113" s="21">
        <v>1680</v>
      </c>
      <c r="E113" s="21">
        <v>990</v>
      </c>
      <c r="F113" s="21">
        <v>1508</v>
      </c>
      <c r="G113" s="21">
        <v>5634</v>
      </c>
    </row>
    <row r="114" spans="1:7" x14ac:dyDescent="0.35">
      <c r="A114" s="29" t="s">
        <v>37</v>
      </c>
      <c r="B114" s="21">
        <v>1598</v>
      </c>
      <c r="C114" s="21">
        <v>1907</v>
      </c>
      <c r="D114" s="21">
        <v>869</v>
      </c>
      <c r="E114" s="21">
        <v>1426</v>
      </c>
      <c r="F114" s="21">
        <v>1416</v>
      </c>
      <c r="G114" s="21">
        <v>7216</v>
      </c>
    </row>
    <row r="115" spans="1:7" x14ac:dyDescent="0.35">
      <c r="A115" s="29" t="s">
        <v>41</v>
      </c>
      <c r="B115" s="21">
        <v>900</v>
      </c>
      <c r="C115" s="21">
        <v>1016</v>
      </c>
      <c r="D115" s="21">
        <v>960</v>
      </c>
      <c r="E115" s="21">
        <v>940</v>
      </c>
      <c r="F115" s="21">
        <v>1193</v>
      </c>
      <c r="G115" s="21">
        <v>5009</v>
      </c>
    </row>
    <row r="116" spans="1:7" x14ac:dyDescent="0.35">
      <c r="A116" s="29" t="s">
        <v>45</v>
      </c>
      <c r="B116" s="21">
        <v>900</v>
      </c>
      <c r="C116" s="21">
        <v>1470</v>
      </c>
      <c r="D116" s="21">
        <v>1617</v>
      </c>
      <c r="E116" s="21">
        <v>1314</v>
      </c>
      <c r="F116" s="21">
        <v>941</v>
      </c>
      <c r="G116" s="21">
        <v>6242</v>
      </c>
    </row>
    <row r="117" spans="1:7" x14ac:dyDescent="0.35">
      <c r="A117" s="29" t="s">
        <v>49</v>
      </c>
      <c r="B117" s="21">
        <v>1255</v>
      </c>
      <c r="C117" s="21">
        <v>516</v>
      </c>
      <c r="D117" s="21">
        <v>1874</v>
      </c>
      <c r="E117" s="21">
        <v>1863</v>
      </c>
      <c r="F117" s="21">
        <v>1722</v>
      </c>
      <c r="G117" s="21">
        <v>7230</v>
      </c>
    </row>
    <row r="118" spans="1:7" x14ac:dyDescent="0.35">
      <c r="A118" s="29" t="s">
        <v>54</v>
      </c>
      <c r="B118" s="21">
        <v>1138</v>
      </c>
      <c r="C118" s="21">
        <v>1898</v>
      </c>
      <c r="D118" s="21">
        <v>1482</v>
      </c>
      <c r="E118" s="21">
        <v>846</v>
      </c>
      <c r="F118" s="21">
        <v>1154</v>
      </c>
      <c r="G118" s="21">
        <v>6518</v>
      </c>
    </row>
    <row r="119" spans="1:7" x14ac:dyDescent="0.35">
      <c r="A119" s="25" t="s">
        <v>20</v>
      </c>
    </row>
    <row r="120" spans="1:7" x14ac:dyDescent="0.35">
      <c r="A120" s="29" t="s">
        <v>18</v>
      </c>
      <c r="B120" s="21">
        <v>1655</v>
      </c>
      <c r="C120" s="21">
        <v>805</v>
      </c>
      <c r="D120" s="21">
        <v>2263</v>
      </c>
      <c r="E120" s="21">
        <v>987</v>
      </c>
      <c r="F120" s="21">
        <v>1075</v>
      </c>
      <c r="G120" s="21">
        <v>6785</v>
      </c>
    </row>
    <row r="121" spans="1:7" x14ac:dyDescent="0.35">
      <c r="A121" s="29" t="s">
        <v>26</v>
      </c>
      <c r="B121" s="21">
        <v>1104</v>
      </c>
      <c r="C121" s="21">
        <v>2280</v>
      </c>
      <c r="D121" s="21">
        <v>1445</v>
      </c>
      <c r="E121" s="21">
        <v>1722</v>
      </c>
      <c r="F121" s="21">
        <v>1196</v>
      </c>
      <c r="G121" s="21">
        <v>7747</v>
      </c>
    </row>
    <row r="122" spans="1:7" x14ac:dyDescent="0.35">
      <c r="A122" s="29" t="s">
        <v>35</v>
      </c>
      <c r="B122" s="21">
        <v>372</v>
      </c>
      <c r="C122" s="21">
        <v>1818</v>
      </c>
      <c r="D122" s="21">
        <v>1346</v>
      </c>
      <c r="E122" s="21">
        <v>1156</v>
      </c>
      <c r="F122" s="21">
        <v>1484</v>
      </c>
      <c r="G122" s="21">
        <v>6176</v>
      </c>
    </row>
    <row r="123" spans="1:7" x14ac:dyDescent="0.35">
      <c r="A123" s="29" t="s">
        <v>43</v>
      </c>
      <c r="B123" s="21">
        <v>1415</v>
      </c>
      <c r="C123" s="21">
        <v>1271</v>
      </c>
      <c r="D123" s="21">
        <v>1214</v>
      </c>
      <c r="E123" s="21">
        <v>1135</v>
      </c>
      <c r="F123" s="21">
        <v>1566</v>
      </c>
      <c r="G123" s="21">
        <v>6601</v>
      </c>
    </row>
    <row r="124" spans="1:7" x14ac:dyDescent="0.35">
      <c r="A124" s="29" t="s">
        <v>30</v>
      </c>
      <c r="B124" s="21">
        <v>1362</v>
      </c>
      <c r="C124" s="21">
        <v>1363</v>
      </c>
      <c r="D124" s="21">
        <v>1152</v>
      </c>
      <c r="E124" s="21">
        <v>777</v>
      </c>
      <c r="F124" s="21">
        <v>750</v>
      </c>
      <c r="G124" s="21">
        <v>5404</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F18" sqref="F18"/>
    </sheetView>
  </sheetViews>
  <sheetFormatPr defaultRowHeight="14.5" x14ac:dyDescent="0.35"/>
  <cols>
    <col min="5" max="5" width="10.81640625" customWidth="1"/>
    <col min="6" max="6" width="9.81640625" customWidth="1"/>
  </cols>
  <sheetData>
    <row r="2" spans="5:6" x14ac:dyDescent="0.35">
      <c r="E2" t="s">
        <v>1084</v>
      </c>
      <c r="F2" t="s">
        <v>1085</v>
      </c>
    </row>
    <row r="3" spans="5:6" ht="25.5" customHeight="1" x14ac:dyDescent="0.35">
      <c r="E3" t="s">
        <v>33</v>
      </c>
      <c r="F3" t="e" vm="2">
        <v>#VALUE!</v>
      </c>
    </row>
    <row r="4" spans="5:6" ht="25.5" customHeight="1" x14ac:dyDescent="0.35">
      <c r="E4" t="s">
        <v>27</v>
      </c>
      <c r="F4" t="e" vm="3">
        <v>#VALUE!</v>
      </c>
    </row>
    <row r="5" spans="5:6" ht="25.5" customHeight="1" x14ac:dyDescent="0.35">
      <c r="E5" t="s">
        <v>46</v>
      </c>
      <c r="F5" t="e" vm="4">
        <v>#VALUE!</v>
      </c>
    </row>
    <row r="6" spans="5:6" ht="25.5" customHeight="1" x14ac:dyDescent="0.35">
      <c r="E6" t="s">
        <v>40</v>
      </c>
      <c r="F6" t="e" vm="5">
        <v>#VALUE!</v>
      </c>
    </row>
    <row r="7" spans="5:6" ht="25.5" customHeight="1" x14ac:dyDescent="0.35">
      <c r="E7" t="s">
        <v>17</v>
      </c>
      <c r="F7" t="e" vm="6">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customer centre report</vt:lpstr>
      <vt:lpstr>pivots</vt:lpstr>
      <vt:lpstr>Assets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Chandoo ORG</dc:creator>
  <cp:keywords/>
  <dc:description/>
  <cp:lastModifiedBy>nithishka ch</cp:lastModifiedBy>
  <cp:revision/>
  <cp:lastPrinted>2025-12-24T13:57:01Z</cp:lastPrinted>
  <dcterms:created xsi:type="dcterms:W3CDTF">2021-03-14T20:21:32Z</dcterms:created>
  <dcterms:modified xsi:type="dcterms:W3CDTF">2025-12-24T13:57:53Z</dcterms:modified>
  <cp:category/>
  <cp:contentStatus/>
</cp:coreProperties>
</file>